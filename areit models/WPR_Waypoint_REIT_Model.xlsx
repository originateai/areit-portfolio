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ntrol" sheetId="3" state="visible" r:id="rId5"/>
    <sheet name="Rates &amp; Macro" sheetId="4" state="visible" r:id="rId6"/>
    <sheet name="Assumptions" sheetId="5" state="visible" r:id="rId7"/>
    <sheet name="Asset Register" sheetId="6" state="visible" r:id="rId8"/>
    <sheet name="Lease Expiry" sheetId="7" state="visible" r:id="rId9"/>
    <sheet name="Debt" sheetId="8" state="visible" r:id="rId10"/>
    <sheet name="P&amp;L" sheetId="9" state="visible" r:id="rId11"/>
    <sheet name="Earnings Quality" sheetId="10" state="visible" r:id="rId12"/>
    <sheet name="Cash Flow" sheetId="11" state="visible" r:id="rId13"/>
    <sheet name="Balance Sheet" sheetId="12" state="visible" r:id="rId14"/>
    <sheet name="Valuation" sheetId="13" state="visible" r:id="rId15"/>
    <sheet name="Returns &amp; Simul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~$2.48-2.62 (Feb-26); ~14% disc to NTA, 6.9% yield</t>
        </r>
      </text>
    </comment>
    <comment ref="E6" authorId="0">
      <text>
        <r>
          <rPr>
            <sz val="10"/>
            <rFont val="Arial"/>
            <family val="2"/>
          </rPr>
          <t xml:space="preserve">Master hedge toggle; 0 reprices all debt to floating on the Debt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Provider columns let you slot in bank rate forecasts and take a consensus (average). For now only the swap-curve row is populated, so Consensus = swap curve. Replace with bank consensus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FY24A and FY25A are hardcoded actuals from the financial statements (blue); only FY26E-FY30E are modelled.</t>
        </r>
      </text>
    </comment>
    <comment ref="B46" authorId="0">
      <text>
        <r>
          <rPr>
            <sz val="10"/>
            <rFont val="Arial"/>
            <family val="2"/>
          </rPr>
          <t xml:space="preserve">NOI built bottom-up from the FY25 annual report lease-expiry profile: contracted escalation on retained income + market reversion on the expiring slice each year. FY28 is the under-rent capture year (19.7% of income re-leasing).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Each year's expiring income re-leases at the market reversion (uplift if under-rented); income not expiring grows at the contracted escalation. The sum is the like-for-like NOI growth feeding the P&amp;L. Heavy-expiry years are both the opportunity (capture under-rent) and the risk (downtime/incentives if demand softens).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Maturity buckets are estimated to be consistent with disclosed WADM and 'no maturities until FY27'; replace with the exact tranche schedule from the debt note when modelling refinancing risk.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Operating cash flow cover is the harder, statutory-style test (cash from operations before maintenance capex). AFFO cover deducts maintenance capex as well. Below 1.0x means part of the distribution is funded from divestments, the revolver or capital.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0" authorId="0">
      <text>
        <r>
          <rPr>
            <sz val="10"/>
            <rFont val="Arial"/>
            <family val="2"/>
          </rPr>
          <t xml:space="preserve">A control buyer captures full asset value plus the management fee it internalises - upside the standalone stock can't access. Contingent on overcoming the manager's strategic stake and the 75% RE-removal threshold (see Control sheet governance).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1" authorId="0">
      <text>
        <r>
          <rPr>
            <sz val="10"/>
            <rFont val="Arial"/>
            <family val="2"/>
          </rPr>
          <t xml:space="preserve">Levered equity return to a 5yr hold: buy at entry, collect distributions, sell at exit cap. Assumes exit near NAV - i.e. the discount closes.</t>
        </r>
      </text>
    </comment>
    <comment ref="E57" authorId="0">
      <text>
        <r>
          <rPr>
            <sz val="10"/>
            <rFont val="Arial"/>
            <family val="2"/>
          </rPr>
          <t xml:space="preserve">Simulation varies fundamentals only and assumes exit near NAV. It does NOT model the risk the price-to-NTA discount fails to close, or a distribution cut.</t>
        </r>
      </text>
    </comment>
  </commentList>
</comments>
</file>

<file path=xl/sharedStrings.xml><?xml version="1.0" encoding="utf-8"?>
<sst xmlns="http://schemas.openxmlformats.org/spreadsheetml/2006/main" count="563" uniqueCount="463">
  <si>
    <t xml:space="preserve">Waypoint REIT</t>
  </si>
  <si>
    <t xml:space="preserve">ASX: WPR  |  Bottom-Up 3-Statement, Scenario, Valuation &amp; Returns  |  FY24A-FY30E</t>
  </si>
  <si>
    <t xml:space="preserve">Segment</t>
  </si>
  <si>
    <t xml:space="preserve">Service stations &amp; fuel/convenience (net lease, INTERNALLY MANAGED)</t>
  </si>
  <si>
    <t xml:space="preserve">Structure</t>
  </si>
  <si>
    <t xml:space="preserve">Stapled (Waypoint REIT Ltd / Waypoint REIT Trust)</t>
  </si>
  <si>
    <t xml:space="preserve">Manager</t>
  </si>
  <si>
    <t xml:space="preserve">Internally managed (VER Limited as RE)</t>
  </si>
  <si>
    <t xml:space="preserve">Securities on issue</t>
  </si>
  <si>
    <t xml:space="preserve">~663.0m</t>
  </si>
  <si>
    <t xml:space="preserve">NTA (latest disclosed)</t>
  </si>
  <si>
    <t xml:space="preserve">$2.90 / security</t>
  </si>
  <si>
    <t xml:space="preserve">WACR (latest)</t>
  </si>
  <si>
    <t xml:space="preserve">5.66%</t>
  </si>
  <si>
    <t xml:space="preserve">Occupancy / WALE</t>
  </si>
  <si>
    <t xml:space="preserve">100% / 8.4 years</t>
  </si>
  <si>
    <t xml:space="preserve">Hedged (latest)</t>
  </si>
  <si>
    <t xml:space="preserve">90% of drawn debt</t>
  </si>
  <si>
    <t xml:space="preserve">FY26 DPS</t>
  </si>
  <si>
    <t xml:space="preserve">17.1 cps</t>
  </si>
  <si>
    <t xml:space="preserve">Financial year end</t>
  </si>
  <si>
    <t xml:space="preserve">31 December</t>
  </si>
  <si>
    <t xml:space="preserve">Model date</t>
  </si>
  <si>
    <t xml:space="preserve">June 2026  |  360 Capital internal analysis</t>
  </si>
  <si>
    <t xml:space="preserve">DISCLAIMER - Built solely from publicly available information (ASX / results presentations / investor updates / market data). Not produced or endorsed by the manager. Asset-level figures and several balance-sheet lines are ESTIMATED / CALIBRATED to reconcile to disclosed NTA, gearing and WACR - flagged yellow. Replace with Annual Report / 4D before relying on outputs. Internal use only. Not advice.</t>
  </si>
  <si>
    <t xml:space="preserve">Summary Dashboard - ASX:WPR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</si>
  <si>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</si>
  <si>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</si>
  <si>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</si>
  <si>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</si>
  <si>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</si>
  <si>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</si>
  <si>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</si>
  <si>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FFO ($m)</t>
  </si>
  <si>
    <t xml:space="preserve">AFFO ($m)</t>
  </si>
  <si>
    <t xml:space="preserve">FFO / security (cps)</t>
  </si>
  <si>
    <t xml:space="preserve">DPS (cps)</t>
  </si>
  <si>
    <t xml:space="preserve">FFO payout (%)</t>
  </si>
  <si>
    <t xml:space="preserve">AFFO cover (x)</t>
  </si>
  <si>
    <t xml:space="preserve">Portfolio value ($m)</t>
  </si>
  <si>
    <t xml:space="preserve">Net debt ($m)</t>
  </si>
  <si>
    <t xml:space="preserve">Gearing (%)</t>
  </si>
  <si>
    <t xml:space="preserve">ICR (x)</t>
  </si>
  <si>
    <t xml:space="preserve">NTA / security ($)</t>
  </si>
  <si>
    <t xml:space="preserve">EQ score (0-100)</t>
  </si>
  <si>
    <t xml:space="preserve">Chart data</t>
  </si>
  <si>
    <t xml:space="preserve">Distributions ($m)</t>
  </si>
  <si>
    <t xml:space="preserve">NTA / sec ($)</t>
  </si>
  <si>
    <t xml:space="preserve">Control &amp; Scenario Engine</t>
  </si>
  <si>
    <t xml:space="preserve">Active scenario  (1=Base, 2=Bull, 3=Bear)</t>
  </si>
  <si>
    <t xml:space="preserve">Current security price ($)</t>
  </si>
  <si>
    <t xml:space="preserve">Hedging master switch  (1=ON, 0=OFF)</t>
  </si>
  <si>
    <t xml:space="preserve">Scenario factor table  (driver deltas)</t>
  </si>
  <si>
    <t xml:space="preserve">Factor</t>
  </si>
  <si>
    <t xml:space="preserve">Base</t>
  </si>
  <si>
    <t xml:space="preserve">Bull</t>
  </si>
  <si>
    <t xml:space="preserve">Bear</t>
  </si>
  <si>
    <t xml:space="preserve">ACTIVE</t>
  </si>
  <si>
    <t xml:space="preserve">1. Cap-rate shift vs base (bps)</t>
  </si>
  <si>
    <t xml:space="preserve">2. Market rent-growth delta (% p.a.)</t>
  </si>
  <si>
    <t xml:space="preserve">3. Cost-of-debt delta (% p.a.)</t>
  </si>
  <si>
    <t xml:space="preserve">   Divestment executes (1/0)</t>
  </si>
  <si>
    <t xml:space="preserve">   Buy-back executes (1/0)</t>
  </si>
  <si>
    <t xml:space="preserve">Headline outputs (live)</t>
  </si>
  <si>
    <t xml:space="preserve">NTA per security ($)</t>
  </si>
  <si>
    <t xml:space="preserve">Price / NTA</t>
  </si>
  <si>
    <t xml:space="preserve">Premium / (discount) to NTA</t>
  </si>
  <si>
    <t xml:space="preserve">FY26E FFO per security (cps)</t>
  </si>
  <si>
    <t xml:space="preserve">FY26E AFFO per security (cps)</t>
  </si>
  <si>
    <t xml:space="preserve">FY26E DPS (cps)</t>
  </si>
  <si>
    <t xml:space="preserve">FY26E distribution yield</t>
  </si>
  <si>
    <t xml:space="preserve">FY26E FFO payout ratio</t>
  </si>
  <si>
    <t xml:space="preserve">FY26E AFFO payout ratio</t>
  </si>
  <si>
    <t xml:space="preserve">Gearing FY26E</t>
  </si>
  <si>
    <t xml:space="preserve">ICR FY26E</t>
  </si>
  <si>
    <t xml:space="preserve">Earnings-quality score (0-100)</t>
  </si>
  <si>
    <t xml:space="preserve">Blended valuation / security ($)</t>
  </si>
  <si>
    <t xml:space="preserve">5yr levered IRR</t>
  </si>
  <si>
    <t xml:space="preserve">Implied up/(down)side to price</t>
  </si>
  <si>
    <t xml:space="preserve">Governance &amp; Takeover</t>
  </si>
  <si>
    <t xml:space="preserve">Management model</t>
  </si>
  <si>
    <t xml:space="preserve">INTERNALLY managed (VER Limited is the in-house RE) - no external manager</t>
  </si>
  <si>
    <t xml:space="preserve">Manager / platform</t>
  </si>
  <si>
    <t xml:space="preserve">Internal - management expense ratio just 30bp, among the lowest in the S&amp;P/ASX 200 REIT index</t>
  </si>
  <si>
    <t xml:space="preserve">Manager stake</t>
  </si>
  <si>
    <t xml:space="preserve">No external manager and no blocking stake - the most open takeover register of the set</t>
  </si>
  <si>
    <t xml:space="preserve">Fee structure (earnings drag)</t>
  </si>
  <si>
    <t xml:space="preserve">Internal corporate cost ~$8.6m (30bp of GAV); no external base/performance fees to strip</t>
  </si>
  <si>
    <t xml:space="preserve">Takeover defensibility (poison pill)</t>
  </si>
  <si>
    <t xml:space="preserve">None. Internally managed, so a control change does not need a manager removed. With a ~14% discount to NTA, single-tenant Viva exposure and an open register, WPR is a genuine M&amp;A / privatisation candidate (Viva Energy or infrastructure capital).</t>
  </si>
  <si>
    <t xml:space="preserve">Takeover assessment</t>
  </si>
  <si>
    <t xml:space="preserve">Takeover value = asset value plus a real control premium (no fee synergy because it is already internal). The catch is concentration: Viva Energy is effectively the whole rent roll, and the portfolio is ~6% over-rented, so a buyer underwrites fuel-retail and EV-transition risk.</t>
  </si>
  <si>
    <t xml:space="preserve">Major holders</t>
  </si>
  <si>
    <t xml:space="preserve">Open register; Viva Energy the dominant tenant. No strategic blocking holder.</t>
  </si>
  <si>
    <t xml:space="preserve">Rates &amp; Macro - swap curve, bond forecast &amp; provider consensus</t>
  </si>
  <si>
    <t xml:space="preserve">Running the swap curve now. Enter bank forecasts in the provider rows; Consensus = average of populated providers; ACTIVE feeds the model (cost of debt &amp; risk-free for Ke).</t>
  </si>
  <si>
    <t xml:space="preserve">AUD 3M BBSW - floating base rate path (%)</t>
  </si>
  <si>
    <t xml:space="preserve">Swap-curve implied</t>
  </si>
  <si>
    <t xml:space="preserve">Bank A (enter forecast)</t>
  </si>
  <si>
    <t xml:space="preserve">Bank B (enter forecast)</t>
  </si>
  <si>
    <t xml:space="preserve">Bank C (enter forecast)</t>
  </si>
  <si>
    <t xml:space="preserve">Consensus (avg of populated)</t>
  </si>
  <si>
    <t xml:space="preserve">ACTIVE -&gt; feeds cost of debt</t>
  </si>
  <si>
    <t xml:space="preserve">ACGB 10-year yield - risk-free for cost of equity (%)</t>
  </si>
  <si>
    <t xml:space="preserve">Market / swap-implied</t>
  </si>
  <si>
    <t xml:space="preserve">ACTIVE -&gt; feeds risk-free</t>
  </si>
  <si>
    <t xml:space="preserve">AUD swap rates by tenor (reference, %)</t>
  </si>
  <si>
    <t xml:space="preserve">3yr</t>
  </si>
  <si>
    <t xml:space="preserve">5yr</t>
  </si>
  <si>
    <t xml:space="preserve">7yr</t>
  </si>
  <si>
    <t xml:space="preserve">10yr</t>
  </si>
  <si>
    <t xml:space="preserve">Par swap rate</t>
  </si>
  <si>
    <t xml:space="preserve">Assumptions &amp; Operating Drivers</t>
  </si>
  <si>
    <t xml:space="preserve">Portfolio - Service Stations (FY25A base links from Asset Register)</t>
  </si>
  <si>
    <t xml:space="preserve">Service Stations passing NOI ($m)</t>
  </si>
  <si>
    <t xml:space="preserve">Service Stations cap rate (WACR)</t>
  </si>
  <si>
    <t xml:space="preserve">Service Stations value ($m)</t>
  </si>
  <si>
    <t xml:space="preserve">Portfolio - (second sector - not used)</t>
  </si>
  <si>
    <t xml:space="preserve">n/a passing NOI ($m)</t>
  </si>
  <si>
    <t xml:space="preserve">n/a cap rate (WACR)</t>
  </si>
  <si>
    <t xml:space="preserve">n/a value ($m)</t>
  </si>
  <si>
    <t xml:space="preserve">Divestment &amp; redeployment</t>
  </si>
  <si>
    <t xml:space="preserve">Divestment gross value ($m)</t>
  </si>
  <si>
    <t xml:space="preserve">Minority interest retained (%)</t>
  </si>
  <si>
    <t xml:space="preserve">Selling / transaction costs (%)</t>
  </si>
  <si>
    <t xml:space="preserve">NOI removed on divestment ($m)</t>
  </si>
  <si>
    <t xml:space="preserve">Net cash proceeds to debt paydown ($m)</t>
  </si>
  <si>
    <t xml:space="preserve">Asset disposals at book ($m)</t>
  </si>
  <si>
    <t xml:space="preserve">Growth &amp; redeployment</t>
  </si>
  <si>
    <t xml:space="preserve">Redeployment / development NOI add ($m)</t>
  </si>
  <si>
    <t xml:space="preserve">Like-for-like NOI growth (%)</t>
  </si>
  <si>
    <t xml:space="preserve">Portfolio occupancy (%)</t>
  </si>
  <si>
    <t xml:space="preserve">Corporate, fees &amp; capex</t>
  </si>
  <si>
    <t xml:space="preserve">Management fees ($m)</t>
  </si>
  <si>
    <t xml:space="preserve">Corporate &amp; admin ($m)</t>
  </si>
  <si>
    <t xml:space="preserve">Management fee rate (% of GAV)</t>
  </si>
  <si>
    <t xml:space="preserve">Maintenance capex ($m)</t>
  </si>
  <si>
    <t xml:space="preserve">Leasing costs &amp; incentives ($m)</t>
  </si>
  <si>
    <t xml:space="preserve">Target payout ratio of EPU (%)</t>
  </si>
  <si>
    <t xml:space="preserve">Distributions &amp; capital</t>
  </si>
  <si>
    <t xml:space="preserve">DPS declared (cps) [forecast = EPU x payout, capped &lt;=100%]</t>
  </si>
  <si>
    <t xml:space="preserve">Tax-deferred proportion (%)</t>
  </si>
  <si>
    <t xml:space="preserve">On-market buy-back ($m)</t>
  </si>
  <si>
    <t xml:space="preserve">Securities on issue - opening (m)</t>
  </si>
  <si>
    <t xml:space="preserve">Securities on issue - closing (m)</t>
  </si>
  <si>
    <t xml:space="preserve">Portfolio totals (convenience links)</t>
  </si>
  <si>
    <t xml:space="preserve">Total portfolio value ($m)</t>
  </si>
  <si>
    <t xml:space="preserve">Total portfolio NOI ($m)</t>
  </si>
  <si>
    <t xml:space="preserve">Blended WACR (%)</t>
  </si>
  <si>
    <t xml:space="preserve">Lease-expiry NOI build (analyst - drives sector NOI)</t>
  </si>
  <si>
    <t xml:space="preserve">Contracted rent escalation (% p.a.)</t>
  </si>
  <si>
    <t xml:space="preserve">Income expiring / re-leasing (% of income)</t>
  </si>
  <si>
    <t xml:space="preserve">Market re-leasing reversion on expiry (%)</t>
  </si>
  <si>
    <t xml:space="preserve">Effective LFL NOI growth (%)</t>
  </si>
  <si>
    <t xml:space="preserve">Asset Register  -  current portfolio (latest basis)</t>
  </si>
  <si>
    <t xml:space="preserve">Populate asset-by-asset over time. Sector subtotals (SUMIF) feed Assumptions as the FY25A base. Set Divest?=1 to include an asset in the divestment. Blue=input, green=link.</t>
  </si>
  <si>
    <t xml:space="preserve">Asset</t>
  </si>
  <si>
    <t xml:space="preserve">Sector</t>
  </si>
  <si>
    <t xml:space="preserve">State</t>
  </si>
  <si>
    <t xml:space="preserve">Anchor / key tenant</t>
  </si>
  <si>
    <t xml:space="preserve">Passing NOI ($m)</t>
  </si>
  <si>
    <t xml:space="preserve">Cap rate</t>
  </si>
  <si>
    <t xml:space="preserve">Value ($m)</t>
  </si>
  <si>
    <t xml:space="preserve">WALE (yrs)</t>
  </si>
  <si>
    <t xml:space="preserve">Occ %</t>
  </si>
  <si>
    <t xml:space="preserve">Divest?</t>
  </si>
  <si>
    <t xml:space="preserve">Metro service stations (VIC/NSW/QLD)</t>
  </si>
  <si>
    <t xml:space="preserve">Service Stations</t>
  </si>
  <si>
    <t xml:space="preserve">VIC/NSW/QLD</t>
  </si>
  <si>
    <t xml:space="preserve">Viva Energy (Shell/OTR)</t>
  </si>
  <si>
    <t xml:space="preserve">Regional &amp; highway sites</t>
  </si>
  <si>
    <t xml:space="preserve">National</t>
  </si>
  <si>
    <t xml:space="preserve">Viva Energy (Shell/Liberty)</t>
  </si>
  <si>
    <t xml:space="preserve">Convenience &amp; non-core</t>
  </si>
  <si>
    <t xml:space="preserve">Various</t>
  </si>
  <si>
    <t xml:space="preserve">Viva/other operators</t>
  </si>
  <si>
    <t xml:space="preserve">Service Stations subtotal</t>
  </si>
  <si>
    <t xml:space="preserve">(no second sector)</t>
  </si>
  <si>
    <t xml:space="preserve">Total portfolio</t>
  </si>
  <si>
    <t xml:space="preserve">Divestment-flagged (Divest?=1)</t>
  </si>
  <si>
    <t xml:space="preserve">Lease Expiry &amp; Re-leasing - cash flow impact</t>
  </si>
  <si>
    <t xml:space="preserve">Portfolio lease metrics</t>
  </si>
  <si>
    <t xml:space="preserve">WALE (years)</t>
  </si>
  <si>
    <t xml:space="preserve">Occupancy (% of income)</t>
  </si>
  <si>
    <t xml:space="preserve">Vacant (% of income)</t>
  </si>
  <si>
    <t xml:space="preserve">Lease expiry profile (% of passing income expiring in year)</t>
  </si>
  <si>
    <t xml:space="preserve">Expiring in year (% of income)</t>
  </si>
  <si>
    <t xml:space="preserve">Expiring beyond FY30 (% of income)</t>
  </si>
  <si>
    <t xml:space="preserve">Cumulative % expired (incl vacant)</t>
  </si>
  <si>
    <t xml:space="preserve">Re-leasing cash flow impact ($m)</t>
  </si>
  <si>
    <t xml:space="preserve">Portfolio NOI - opening ($m)</t>
  </si>
  <si>
    <t xml:space="preserve">Income up for renewal in year ($m)</t>
  </si>
  <si>
    <t xml:space="preserve">(+) Reversion uplift captured ($m)</t>
  </si>
  <si>
    <t xml:space="preserve">(+) Contracted escalation on retained income ($m)</t>
  </si>
  <si>
    <t xml:space="preserve">Net like-for-like NOI growth ($m)</t>
  </si>
  <si>
    <t xml:space="preserve">Effective like-for-like NOI growth (%)</t>
  </si>
  <si>
    <t xml:space="preserve">(+) Development / acquisition NOI ($m)</t>
  </si>
  <si>
    <t xml:space="preserve">Total NOI growth in year ($m)</t>
  </si>
  <si>
    <t xml:space="preserve">Debt &amp; Hedging Module</t>
  </si>
  <si>
    <t xml:space="preserve">Hedging master switch = Control!E6. Interest on average net debt (ex-revolver) -&gt; non-circular. Revolver funds any cash shortfall.</t>
  </si>
  <si>
    <t xml:space="preserve">Facility &amp; net-debt schedule</t>
  </si>
  <si>
    <t xml:space="preserve">Facility limit ($m)</t>
  </si>
  <si>
    <t xml:space="preserve">Opening net debt ($m)</t>
  </si>
  <si>
    <t xml:space="preserve">(less) Net divestment proceeds ($m)</t>
  </si>
  <si>
    <t xml:space="preserve">(less) Scheduled amortisation ($m)</t>
  </si>
  <si>
    <t xml:space="preserve">(add) Growth / redeployment capex drawn ($m)</t>
  </si>
  <si>
    <t xml:space="preserve">(add) Revolver draw to fund cash shortfall ($m)</t>
  </si>
  <si>
    <t xml:space="preserve">Closing net debt ($m)</t>
  </si>
  <si>
    <t xml:space="preserve">Average net debt ($m)</t>
  </si>
  <si>
    <t xml:space="preserve">Hedging &amp; cost of debt</t>
  </si>
  <si>
    <t xml:space="preserve">Floating base rate - BBSW (%)  [forecast from Rates &amp; Macro]</t>
  </si>
  <si>
    <t xml:space="preserve">Credit margin (%)</t>
  </si>
  <si>
    <t xml:space="preserve">All-in floating rate (%)</t>
  </si>
  <si>
    <t xml:space="preserve">Hedge ratio - input (%)</t>
  </si>
  <si>
    <t xml:space="preserve">Effective hedge ratio (%)  [x master switch]</t>
  </si>
  <si>
    <t xml:space="preserve">Hedged (swap) all-in rate (%)</t>
  </si>
  <si>
    <t xml:space="preserve">Blended cost of debt (%)</t>
  </si>
  <si>
    <t xml:space="preserve">Interest expense ($m)  [avg debt, ex-revolver]</t>
  </si>
  <si>
    <t xml:space="preserve">Gearing &amp; coverage</t>
  </si>
  <si>
    <t xml:space="preserve">Total tangible assets ($m)</t>
  </si>
  <si>
    <t xml:space="preserve">Gearing (net debt / total assets)</t>
  </si>
  <si>
    <t xml:space="preserve">Facility headroom ($m)</t>
  </si>
  <si>
    <t xml:space="preserve">EBIT for ICR ($m)</t>
  </si>
  <si>
    <t xml:space="preserve">Interest cover ratio (ICR, x)</t>
  </si>
  <si>
    <t xml:space="preserve">Debt maturity ladder ($m drawn by expiry)  -  WADM ~3.8 yrs, first maturity FY27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</si>
  <si>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</si>
  <si>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</si>
  <si>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</si>
  <si>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</si>
  <si>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</si>
  <si>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Beyond</t>
  </si>
  <si>
    <t xml:space="preserve">Debt maturing ($m)</t>
  </si>
  <si>
    <t xml:space="preserve">Total drawn (ladder, $m)</t>
  </si>
  <si>
    <t xml:space="preserve">Assumed refinance margin (%)</t>
  </si>
  <si>
    <t xml:space="preserve">Profit &amp; Loss - FFO / AFFO / Statutory</t>
  </si>
  <si>
    <t xml:space="preserve">Funds From Operations (FFO)</t>
  </si>
  <si>
    <t xml:space="preserve">Net property income (NOI)</t>
  </si>
  <si>
    <t xml:space="preserve">(less) Management fees</t>
  </si>
  <si>
    <t xml:space="preserve">(less) Corporate &amp; admin</t>
  </si>
  <si>
    <t xml:space="preserve">EBIT / distributable operating profit</t>
  </si>
  <si>
    <t xml:space="preserve">(less) Net finance costs</t>
  </si>
  <si>
    <t xml:space="preserve">Other recurring income / (costs)</t>
  </si>
  <si>
    <t xml:space="preserve">Adjusted FFO (AFFO)</t>
  </si>
  <si>
    <t xml:space="preserve">(less) Maintenance capex</t>
  </si>
  <si>
    <t xml:space="preserve">(less) Leasing costs &amp; incentives</t>
  </si>
  <si>
    <t xml:space="preserve">Per-security &amp; distributions</t>
  </si>
  <si>
    <t xml:space="preserve">FFO per security (cps)</t>
  </si>
  <si>
    <t xml:space="preserve">AFFO per security (cps)</t>
  </si>
  <si>
    <t xml:space="preserve">DPS declared (cps)</t>
  </si>
  <si>
    <t xml:space="preserve">FFO payout ratio</t>
  </si>
  <si>
    <t xml:space="preserve">AFFO payout ratio</t>
  </si>
  <si>
    <t xml:space="preserve">Distributions paid ($m)</t>
  </si>
  <si>
    <t xml:space="preserve">Statutory reconciliation</t>
  </si>
  <si>
    <t xml:space="preserve">(+/-) Property revaluation gain / (loss)</t>
  </si>
  <si>
    <t xml:space="preserve">(less) Straight-line / incentive amortisation</t>
  </si>
  <si>
    <t xml:space="preserve">(+/-) Derivative mark-to-market</t>
  </si>
  <si>
    <t xml:space="preserve">(less) Transaction / divestment costs (one-off)</t>
  </si>
  <si>
    <t xml:space="preserve">Statutory net profit / (loss) ($m)</t>
  </si>
  <si>
    <t xml:space="preserve">Earnings Quality - true cash, coverage, scorecard</t>
  </si>
  <si>
    <t xml:space="preserve">Cash vs accounting earnings</t>
  </si>
  <si>
    <t xml:space="preserve">AFFO - true cash ($m)</t>
  </si>
  <si>
    <t xml:space="preserve">Recurring NOI ($m)</t>
  </si>
  <si>
    <t xml:space="preserve">Non-cash / one-off items in statutory ($m)</t>
  </si>
  <si>
    <t xml:space="preserve">Quality ratios</t>
  </si>
  <si>
    <t xml:space="preserve">AFFO / FFO (cash conversion)</t>
  </si>
  <si>
    <t xml:space="preserve">AFFO distribution cover (x)</t>
  </si>
  <si>
    <t xml:space="preserve">Distribution surplus / (shortfall) vs FFO ($m)</t>
  </si>
  <si>
    <t xml:space="preserve">Operating cash flow cover of distribution (x)</t>
  </si>
  <si>
    <t xml:space="preserve">Earnings-quality scorecard (each 0-20; FY26E drives Control)</t>
  </si>
  <si>
    <t xml:space="preserve">AFFO covers distribution (&gt;=1.0x)</t>
  </si>
  <si>
    <t xml:space="preserve">FFO payout sustainable (&lt;=100%)</t>
  </si>
  <si>
    <t xml:space="preserve">Like-for-like NOI growth healthy</t>
  </si>
  <si>
    <t xml:space="preserve">Gearing within band (&lt;=40%)</t>
  </si>
  <si>
    <t xml:space="preserve">Low reliance on revaluation / one-offs</t>
  </si>
  <si>
    <t xml:space="preserve">TOTAL earnings-quality score (0-100)</t>
  </si>
  <si>
    <t xml:space="preserve">Cash Flow (cash-based)</t>
  </si>
  <si>
    <t xml:space="preserve">Operating, distributions &amp; funding</t>
  </si>
  <si>
    <t xml:space="preserve">AFFO / operating cash flow ($m)</t>
  </si>
  <si>
    <t xml:space="preserve">(less) Distributions paid</t>
  </si>
  <si>
    <t xml:space="preserve">(less) On-market buy-back</t>
  </si>
  <si>
    <t xml:space="preserve">(less) Scheduled debt amortisation</t>
  </si>
  <si>
    <t xml:space="preserve">Net change in cash before revolver ($m)</t>
  </si>
  <si>
    <t xml:space="preserve">Opening cash ($m)</t>
  </si>
  <si>
    <t xml:space="preserve">Revolver draw to fund shortfall ($m)</t>
  </si>
  <si>
    <t xml:space="preserve">Closing cash ($m)</t>
  </si>
  <si>
    <t xml:space="preserve">Distribution coverage - cash basis</t>
  </si>
  <si>
    <t xml:space="preserve">Operating cash flow (FFO less cash incentives, $m)</t>
  </si>
  <si>
    <t xml:space="preserve">AFFO - after maintenance capex ($m)</t>
  </si>
  <si>
    <t xml:space="preserve">Operating cash flow cover (x)</t>
  </si>
  <si>
    <t xml:space="preserve">Balance Sheet &amp; NTA</t>
  </si>
  <si>
    <t xml:space="preserve">Assets</t>
  </si>
  <si>
    <t xml:space="preserve">Investment properties ($m)</t>
  </si>
  <si>
    <t xml:space="preserve">Retained minority interest (divested assets)</t>
  </si>
  <si>
    <t xml:space="preserve">Cash ($m)</t>
  </si>
  <si>
    <t xml:space="preserve">Other assets ($m)</t>
  </si>
  <si>
    <t xml:space="preserve">Total assets ($m)</t>
  </si>
  <si>
    <t xml:space="preserve">Liabilities</t>
  </si>
  <si>
    <t xml:space="preserve">Borrowings - net debt ($m)</t>
  </si>
  <si>
    <t xml:space="preserve">Derivatives &amp; other liabilities ($m)</t>
  </si>
  <si>
    <t xml:space="preserve">Total liabilities ($m)</t>
  </si>
  <si>
    <t xml:space="preserve">Equity</t>
  </si>
  <si>
    <t xml:space="preserve">Net assets / equity ($m)</t>
  </si>
  <si>
    <t xml:space="preserve">Per-security metrics</t>
  </si>
  <si>
    <t xml:space="preserve">Securities on issue (m)</t>
  </si>
  <si>
    <t xml:space="preserve">Net assets ($m)</t>
  </si>
  <si>
    <t xml:space="preserve">Disclosed NTA (calibration check)</t>
  </si>
  <si>
    <t xml:space="preserve">Valuation - NAV, cap-rate sensitivity, DDM, FFO multiple</t>
  </si>
  <si>
    <t xml:space="preserve">1. NAV / NTA</t>
  </si>
  <si>
    <t xml:space="preserve">Premium / (discount) at current price</t>
  </si>
  <si>
    <t xml:space="preserve">2. Cap-rate (NAV) sensitivity - FY26E value per security ($)</t>
  </si>
  <si>
    <t xml:space="preserve">WACR shift (bps)</t>
  </si>
  <si>
    <t xml:space="preserve">Implied portfolio value ($m)</t>
  </si>
  <si>
    <t xml:space="preserve">NAV per security ($)</t>
  </si>
  <si>
    <t xml:space="preserve">3. Income yields (at current price)</t>
  </si>
  <si>
    <t xml:space="preserve">FY26E FFO yield</t>
  </si>
  <si>
    <t xml:space="preserve">FY26E AFFO yield</t>
  </si>
  <si>
    <t xml:space="preserve">4. Dividend discount (DDM) - PV of distributions FY26E-FY30E + terminal</t>
  </si>
  <si>
    <t xml:space="preserve">Required return Ke (%)</t>
  </si>
  <si>
    <t xml:space="preserve">Terminal growth g (%)</t>
  </si>
  <si>
    <t xml:space="preserve">DPS per year (cps)</t>
  </si>
  <si>
    <t xml:space="preserve">Discount period (yrs)</t>
  </si>
  <si>
    <t xml:space="preserve">PV of DPS ($/sec)</t>
  </si>
  <si>
    <t xml:space="preserve">Terminal value ($/sec, undiscounted)</t>
  </si>
  <si>
    <t xml:space="preserve">PV of terminal value ($/sec)</t>
  </si>
  <si>
    <t xml:space="preserve">DDM value per security ($)</t>
  </si>
  <si>
    <t xml:space="preserve">5. FFO multiple</t>
  </si>
  <si>
    <t xml:space="preserve">Target FFO multiple (x)</t>
  </si>
  <si>
    <t xml:space="preserve">FFO-multiple value per security ($)</t>
  </si>
  <si>
    <t xml:space="preserve">6. Equity DCF - per-unit EPU (FFO/u) discounted to NPV, market-PE terminal</t>
  </si>
  <si>
    <t xml:space="preserve">Risk-free: ACGB 10yr (from Rates &amp; Macro, %)</t>
  </si>
  <si>
    <t xml:space="preserve">Equity risk premium (%)</t>
  </si>
  <si>
    <t xml:space="preserve">Equity beta (x)</t>
  </si>
  <si>
    <t xml:space="preserve">CAPM cost of equity (%)</t>
  </si>
  <si>
    <t xml:space="preserve">Discount rate / required return (%)  [OVERRIDE]</t>
  </si>
  <si>
    <t xml:space="preserve">Terminal FFO multiple (PE) - quant &amp; qual build</t>
  </si>
  <si>
    <t xml:space="preserve">Base market / A-REIT sector FFO multiple (x)</t>
  </si>
  <si>
    <t xml:space="preserve">(+) Industrial sub-sector premium (x)</t>
  </si>
  <si>
    <t xml:space="preserve">(+/-) Quant: gearing &amp; balance-sheet headroom (x)</t>
  </si>
  <si>
    <t xml:space="preserve">(+/-) Quant: AFFO cash cover of distribution (x)</t>
  </si>
  <si>
    <t xml:space="preserve">(+/-) Quant: under-rent / reversion runway (x)</t>
  </si>
  <si>
    <t xml:space="preserve">(+/-) Qual: management (internal + / external -) (x)</t>
  </si>
  <si>
    <t xml:space="preserve">(+/-) Qual: portfolio quality &amp; takeover optionality (x)</t>
  </si>
  <si>
    <t xml:space="preserve">Terminal FFO multiple (x)</t>
  </si>
  <si>
    <t xml:space="preserve">Cross-check: implied terminal FFO yield (%)</t>
  </si>
  <si>
    <t xml:space="preserve">Per-unit EPU cash flows &amp; NPV</t>
  </si>
  <si>
    <t xml:space="preserve">EPU = FFO per unit (cps)</t>
  </si>
  <si>
    <t xml:space="preserve">PV of EPU ($/unit)</t>
  </si>
  <si>
    <t xml:space="preserve">Terminal value ($/unit) = terminal EPU x PE</t>
  </si>
  <si>
    <t xml:space="preserve">Cross-check TV via terminal yield ($/unit)</t>
  </si>
  <si>
    <t xml:space="preserve">PV of terminal value ($/unit)</t>
  </si>
  <si>
    <t xml:space="preserve">EQUITY DCF VALUE PER UNIT ($)</t>
  </si>
  <si>
    <t xml:space="preserve">NPV vs current price ($/unit)</t>
  </si>
  <si>
    <t xml:space="preserve">Implied upside / (downside)</t>
  </si>
  <si>
    <t xml:space="preserve">Investor cash flow ($/unit): t0=-price, EPU, +TV</t>
  </si>
  <si>
    <t xml:space="preserve">Breakeven IRR at current price (%)</t>
  </si>
  <si>
    <t xml:space="preserve">Sensitivity - value per unit vs discount rate</t>
  </si>
  <si>
    <t xml:space="preserve">Discount rate (%)</t>
  </si>
  <si>
    <t xml:space="preserve">Value per unit ($)</t>
  </si>
  <si>
    <t xml:space="preserve">7. Business / asset DCF (SOTP) - unlevered cash flow + terminal at exit cap</t>
  </si>
  <si>
    <t xml:space="preserve">Unlevered / asset discount rate (%)</t>
  </si>
  <si>
    <t xml:space="preserve">Terminal cap rate (%)</t>
  </si>
  <si>
    <t xml:space="preserve">Terminal growth into exit (%)</t>
  </si>
  <si>
    <t xml:space="preserve">Unlevered FCF (NOI less fees, admin, capex &amp; incentives, $m)</t>
  </si>
  <si>
    <t xml:space="preserve">PV of FCF ($m)</t>
  </si>
  <si>
    <t xml:space="preserve">Terminal value at exit cap ($m)</t>
  </si>
  <si>
    <t xml:space="preserve">PV of terminal value ($m)</t>
  </si>
  <si>
    <t xml:space="preserve">Gross asset / enterprise value ($m)</t>
  </si>
  <si>
    <t xml:space="preserve">(less) net debt / (add) other (latest actual, $m)</t>
  </si>
  <si>
    <t xml:space="preserve">Business DCF equity value ($m)</t>
  </si>
  <si>
    <t xml:space="preserve">BUSINESS DCF VALUE PER SECURITY ($)</t>
  </si>
  <si>
    <t xml:space="preserve">Blended valuation - asset &amp; stock lenses</t>
  </si>
  <si>
    <t xml:space="preserve">NAV (NTA) - weight</t>
  </si>
  <si>
    <t xml:space="preserve">Business / asset DCF - weight</t>
  </si>
  <si>
    <t xml:space="preserve">Equity (stock) DCF - weight</t>
  </si>
  <si>
    <t xml:space="preserve">DDM - weight</t>
  </si>
  <si>
    <t xml:space="preserve">FFO multiple - weight</t>
  </si>
  <si>
    <t xml:space="preserve">Weight check (=100%)</t>
  </si>
  <si>
    <t xml:space="preserve">BLENDED VALUE PER SECURITY ($)</t>
  </si>
  <si>
    <t xml:space="preserve">Implied up / (down)side to current price</t>
  </si>
  <si>
    <t xml:space="preserve">Buy discipline - at your required return</t>
  </si>
  <si>
    <t xml:space="preserve">Required return / cost of capital (%)</t>
  </si>
  <si>
    <t xml:space="preserve">BUY THRESHOLD = equity DCF value at required return ($)</t>
  </si>
  <si>
    <t xml:space="preserve">Current price ($)</t>
  </si>
  <si>
    <t xml:space="preserve">NPV per unit at current price ($)</t>
  </si>
  <si>
    <t xml:space="preserve">Signal</t>
  </si>
  <si>
    <t xml:space="preserve">8. Takeover / control value (SOTP) - asset value + internalisation synergy</t>
  </si>
  <si>
    <t xml:space="preserve">Business / asset DCF value per security ($)</t>
  </si>
  <si>
    <t xml:space="preserve">NAV / NTA per security (reference, $)</t>
  </si>
  <si>
    <t xml:space="preserve">Annual base management fee saved on internalisation ($m)</t>
  </si>
  <si>
    <t xml:space="preserve">Synergy capitalisation multiple (x)</t>
  </si>
  <si>
    <t xml:space="preserve">Internalisation synergy per security ($)</t>
  </si>
  <si>
    <t xml:space="preserve">Control premium (%)</t>
  </si>
  <si>
    <t xml:space="preserve">INDICATIVE TAKEOVER / CONTROL VALUE ($)</t>
  </si>
  <si>
    <t xml:space="preserve">Takeover upside vs current price</t>
  </si>
  <si>
    <t xml:space="preserve">Control value above standalone stock DCF ($/unit)</t>
  </si>
  <si>
    <t xml:space="preserve">Returns &amp; Simulation - 5yr levered IRR, terminal exit, sensitivities, Monte Carlo</t>
  </si>
  <si>
    <t xml:space="preserve">Return inputs</t>
  </si>
  <si>
    <t xml:space="preserve">Entry price ($/security)</t>
  </si>
  <si>
    <t xml:space="preserve">Hold period (years)</t>
  </si>
  <si>
    <t xml:space="preserve">Exit capitalisation rate (%)</t>
  </si>
  <si>
    <t xml:space="preserve">Exit selling costs (%)</t>
  </si>
  <si>
    <t xml:space="preserve">Terminal NOI growth into exit (%)</t>
  </si>
  <si>
    <t xml:space="preserve">Exit value build (end FY30E)</t>
  </si>
  <si>
    <t xml:space="preserve">FY30E NOI ($m)</t>
  </si>
  <si>
    <t xml:space="preserve">Forward NOI at exit ($m)</t>
  </si>
  <si>
    <t xml:space="preserve">Exit portfolio value ($m)</t>
  </si>
  <si>
    <t xml:space="preserve">  + retained minority interest ($m)</t>
  </si>
  <si>
    <t xml:space="preserve">  + cash ($m)</t>
  </si>
  <si>
    <t xml:space="preserve">  + other assets ($m)</t>
  </si>
  <si>
    <t xml:space="preserve">  - net debt ($m)</t>
  </si>
  <si>
    <t xml:space="preserve">  - other liabilities ($m)</t>
  </si>
  <si>
    <t xml:space="preserve">Exit equity ($m)</t>
  </si>
  <si>
    <t xml:space="preserve">Exit equity per security ($)</t>
  </si>
  <si>
    <t xml:space="preserve">Exit value per security, net of costs ($)</t>
  </si>
  <si>
    <t xml:space="preserve">5-year levered cash flow to equity (per security)</t>
  </si>
  <si>
    <t xml:space="preserve">t0 (today)</t>
  </si>
  <si>
    <t xml:space="preserve">FY30E + exit</t>
  </si>
  <si>
    <t xml:space="preserve">Distribution received ($/sec)</t>
  </si>
  <si>
    <t xml:space="preserve">Exit proceeds ($/sec)</t>
  </si>
  <si>
    <t xml:space="preserve">Net cash flow ($/sec)</t>
  </si>
  <si>
    <t xml:space="preserve">5-year levered equity IRR</t>
  </si>
  <si>
    <t xml:space="preserve">Equity multiple (MOIC)</t>
  </si>
  <si>
    <t xml:space="preserve">Total distributions over hold ($/sec)</t>
  </si>
  <si>
    <t xml:space="preserve">Cap-rate sensitivity - live IRR (exit cap on rows)</t>
  </si>
  <si>
    <t xml:space="preserve">Exit cap</t>
  </si>
  <si>
    <t xml:space="preserve">t0</t>
  </si>
  <si>
    <t xml:space="preserve">FY30E+exit</t>
  </si>
  <si>
    <t xml:space="preserve">IRR</t>
  </si>
  <si>
    <t xml:space="preserve">MOIC</t>
  </si>
  <si>
    <t xml:space="preserve">Two-way: exit cap (rows) x terminal NOI shift (cols) -&gt; equity MOIC</t>
  </si>
  <si>
    <t xml:space="preserve">cap \ NOI</t>
  </si>
  <si>
    <t xml:space="preserve">Monte Carlo - 5yr IRR distribution (engine, N=20,000)</t>
  </si>
  <si>
    <t xml:space="preserve">Drivers: exit cap ~N(base,0.50%); rent delta ~N(0,1.0%); cost of debt ~N(0,0.40%); NOI shock ~N(1.0,3%)</t>
  </si>
  <si>
    <t xml:space="preserve">Mean IRR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</si>
  <si>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</si>
  <si>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</si>
  <si>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</si>
  <si>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</si>
  <si>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</si>
  <si>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P(IRR &lt; 0%)</t>
  </si>
  <si>
    <t xml:space="preserve">P(IRR &gt; 8%)</t>
  </si>
  <si>
    <t xml:space="preserve">P(IRR &gt; 11%)</t>
  </si>
  <si>
    <t xml:space="preserve">P(IRR &gt; 15%)</t>
  </si>
  <si>
    <t xml:space="preserve">IRR distribution (histogram)</t>
  </si>
  <si>
    <t xml:space="preserve">IRR bin</t>
  </si>
  <si>
    <t xml:space="preserve">Frequency</t>
  </si>
  <si>
    <t xml:space="preserve">0-2%</t>
  </si>
  <si>
    <t xml:space="preserve">2-5%</t>
  </si>
  <si>
    <t xml:space="preserve">5-8%</t>
  </si>
  <si>
    <t xml:space="preserve">8-10%</t>
  </si>
  <si>
    <t xml:space="preserve">10-12%</t>
  </si>
  <si>
    <t xml:space="preserve">12-15%</t>
  </si>
  <si>
    <t xml:space="preserve">15-18%</t>
  </si>
  <si>
    <t xml:space="preserve">18-20%</t>
  </si>
  <si>
    <t xml:space="preserve">20-22%</t>
  </si>
  <si>
    <t xml:space="preserve">22-25%</t>
  </si>
  <si>
    <t xml:space="preserve">25-28%</t>
  </si>
  <si>
    <t xml:space="preserve">28-30%</t>
  </si>
  <si>
    <t xml:space="preserve">30-32%</t>
  </si>
  <si>
    <t xml:space="preserve">32-35%</t>
  </si>
  <si>
    <t xml:space="preserve">35-38%</t>
  </si>
  <si>
    <t xml:space="preserve">38-40%</t>
  </si>
  <si>
    <t xml:space="preserve">40-43%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</si>
</sst>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"/>
    <numFmt numFmtId="167" formatCode="0.0%"/>
    <numFmt numFmtId="168" formatCode="0.0\x"/>
    <numFmt numFmtId="169" formatCode="#,##0;\(#,##0\);\-"/>
    <numFmt numFmtId="170" formatCode="\$0.000"/>
    <numFmt numFmtId="171" formatCode="0"/>
    <numFmt numFmtId="172" formatCode="#,##0&quot; bps&quot;"/>
    <numFmt numFmtId="173" formatCode="0.00%"/>
    <numFmt numFmtId="174" formatCode="0%"/>
    <numFmt numFmtId="175" formatCode="0.0"/>
    <numFmt numFmtId="17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63D58"/>
      <name val="Arial"/>
      <family val="0"/>
      <charset val="1"/>
    </font>
    <font>
      <i val="true"/>
      <sz val="13"/>
      <color rgb="FF4B97B2"/>
      <name val="Arial"/>
      <family val="0"/>
      <charset val="1"/>
    </font>
    <font>
      <b val="true"/>
      <sz val="10"/>
      <color rgb="FF063D58"/>
      <name val="Arial"/>
      <family val="0"/>
      <charset val="1"/>
    </font>
    <font>
      <sz val="10"/>
      <color rgb="FF00273E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63D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63D5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273E"/>
      <name val="Arial"/>
      <family val="0"/>
      <charset val="1"/>
    </font>
    <font>
      <sz val="10"/>
      <name val="Arial"/>
      <family val="2"/>
    </font>
    <font>
      <i val="true"/>
      <sz val="9"/>
      <color rgb="FF0027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5"/>
      <color rgb="FF063D58"/>
      <name val="Arial"/>
      <family val="0"/>
      <charset val="1"/>
    </font>
    <font>
      <b val="true"/>
      <sz val="10"/>
      <color rgb="FF0027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9FB"/>
        <bgColor rgb="FFFFFFFF"/>
      </patternFill>
    </fill>
    <fill>
      <patternFill patternType="solid">
        <fgColor rgb="FF063D58"/>
        <bgColor rgb="FF00273E"/>
      </patternFill>
    </fill>
    <fill>
      <patternFill patternType="solid">
        <fgColor rgb="FFEAF3F7"/>
        <bgColor rgb="FFF5F9FB"/>
      </patternFill>
    </fill>
    <fill>
      <patternFill patternType="solid">
        <fgColor rgb="FFFFFF00"/>
        <bgColor rgb="FFFFFF00"/>
      </patternFill>
    </fill>
    <fill>
      <patternFill patternType="solid">
        <fgColor rgb="FF4B97B2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063D5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5F9FB"/>
      <rgbColor rgb="FFEA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63D58"/>
      <rgbColor rgb="FF4B97B2"/>
      <rgbColor rgb="FF00273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FFO vs Distributions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FFO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Summary!$C$20:$I$20</c:f>
              <c:numCache>
                <c:formatCode>#,##0.0;\(#,##0.0\);\-</c:formatCode>
                <c:ptCount val="7"/>
                <c:pt idx="0">
                  <c:v>109.1</c:v>
                </c:pt>
                <c:pt idx="1">
                  <c:v>110.4</c:v>
                </c:pt>
                <c:pt idx="2">
                  <c:v>114.376978586572</c:v>
                </c:pt>
                <c:pt idx="3">
                  <c:v>116.249784996939</c:v>
                </c:pt>
                <c:pt idx="4">
                  <c:v>119.585328751135</c:v>
                </c:pt>
                <c:pt idx="5">
                  <c:v>123.315893647203</c:v>
                </c:pt>
                <c:pt idx="6">
                  <c:v>126.958576761975</c:v>
                </c:pt>
              </c:numCache>
            </c:numRef>
          </c:val>
        </c:ser>
        <c:ser>
          <c:idx val="1"/>
          <c:order val="1"/>
          <c:tx>
            <c:strRef>
              <c:f>Summary!B21</c:f>
              <c:strCache>
                <c:ptCount val="1"/>
                <c:pt idx="0">
                  <c:v>Distributions ($m)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Summary!$C$21:$I$21</c:f>
              <c:numCache>
                <c:formatCode>#,##0.0;\(#,##0.0\);\-</c:formatCode>
                <c:ptCount val="7"/>
                <c:pt idx="0">
                  <c:v>109.2624</c:v>
                </c:pt>
                <c:pt idx="1">
                  <c:v>110.3232</c:v>
                </c:pt>
                <c:pt idx="2">
                  <c:v>114.376978586572</c:v>
                </c:pt>
                <c:pt idx="3">
                  <c:v>116.249784996939</c:v>
                </c:pt>
                <c:pt idx="4">
                  <c:v>119.585328751135</c:v>
                </c:pt>
                <c:pt idx="5">
                  <c:v>123.315893647203</c:v>
                </c:pt>
                <c:pt idx="6">
                  <c:v>126.958576761975</c:v>
                </c:pt>
              </c:numCache>
            </c:numRef>
          </c:val>
        </c:ser>
        <c:gapWidth val="150"/>
        <c:overlap val="0"/>
        <c:axId val="29962929"/>
        <c:axId val="3593395"/>
      </c:barChart>
      <c:catAx>
        <c:axId val="29962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3395"/>
        <c:crosses val="autoZero"/>
        <c:auto val="1"/>
        <c:lblAlgn val="ctr"/>
        <c:lblOffset val="100"/>
        <c:noMultiLvlLbl val="0"/>
      </c:catAx>
      <c:valAx>
        <c:axId val="3593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62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AFFO distribution cover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AFFO cover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Summary!$C$22:$I$22</c:f>
              <c:numCache>
                <c:formatCode>0.0\x</c:formatCode>
                <c:ptCount val="7"/>
                <c:pt idx="0">
                  <c:v>0.984785250918889</c:v>
                </c:pt>
                <c:pt idx="1">
                  <c:v>0.987099721545423</c:v>
                </c:pt>
                <c:pt idx="2">
                  <c:v>0.986885472771388</c:v>
                </c:pt>
                <c:pt idx="3">
                  <c:v>0.987096750329134</c:v>
                </c:pt>
                <c:pt idx="4">
                  <c:v>0.987456655296557</c:v>
                </c:pt>
                <c:pt idx="5">
                  <c:v>0.987836117830104</c:v>
                </c:pt>
                <c:pt idx="6">
                  <c:v>0.988185122752185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88993"/>
        <c:axId val="78493328"/>
      </c:lineChart>
      <c:catAx>
        <c:axId val="20088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93328"/>
        <c:crosses val="autoZero"/>
        <c:auto val="1"/>
        <c:lblAlgn val="ctr"/>
        <c:lblOffset val="100"/>
        <c:noMultiLvlLbl val="0"/>
      </c:catAx>
      <c:valAx>
        <c:axId val="78493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88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NTA per security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NTA / sec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Summary!$C$23:$I$23</c:f>
              <c:numCache>
                <c:formatCode>\$0.000</c:formatCode>
                <c:ptCount val="7"/>
                <c:pt idx="0">
                  <c:v>2.76018099547511</c:v>
                </c:pt>
                <c:pt idx="1">
                  <c:v>2.90045248868778</c:v>
                </c:pt>
                <c:pt idx="2">
                  <c:v>3.00705461929249</c:v>
                </c:pt>
                <c:pt idx="3">
                  <c:v>3.09565158248257</c:v>
                </c:pt>
                <c:pt idx="4">
                  <c:v>3.21098663013936</c:v>
                </c:pt>
                <c:pt idx="5">
                  <c:v>3.32688002603692</c:v>
                </c:pt>
                <c:pt idx="6">
                  <c:v>3.44319171973119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094425"/>
        <c:axId val="54096782"/>
      </c:lineChart>
      <c:catAx>
        <c:axId val="51094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96782"/>
        <c:crosses val="autoZero"/>
        <c:auto val="1"/>
        <c:lblAlgn val="ctr"/>
        <c:lblOffset val="100"/>
        <c:noMultiLvlLbl val="0"/>
      </c:catAx>
      <c:valAx>
        <c:axId val="54096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944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5yr IRR distribution (N=20,000)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&amp; Simulation'!C69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&amp; Simulation'!$B$70:$B$86</c:f>
              <c:strCache>
                <c:ptCount val="17"/>
                <c:pt idx="0">
                  <c:v>0-2%</c:v>
                </c:pt>
                <c:pt idx="1">
                  <c:v>2-5%</c:v>
                </c:pt>
                <c:pt idx="2">
                  <c:v>5-8%</c:v>
                </c:pt>
                <c:pt idx="3">
                  <c:v>8-10%</c:v>
                </c:pt>
                <c:pt idx="4">
                  <c:v>10-12%</c:v>
                </c:pt>
                <c:pt idx="5">
                  <c:v>12-15%</c:v>
                </c:pt>
                <c:pt idx="6">
                  <c:v>15-18%</c:v>
                </c:pt>
                <c:pt idx="7">
                  <c:v>18-20%</c:v>
                </c:pt>
                <c:pt idx="8">
                  <c:v>20-22%</c:v>
                </c:pt>
                <c:pt idx="9">
                  <c:v>22-25%</c:v>
                </c:pt>
                <c:pt idx="10">
                  <c:v>25-28%</c:v>
                </c:pt>
                <c:pt idx="11">
                  <c:v>28-30%</c:v>
                </c:pt>
                <c:pt idx="12">
                  <c:v>30-32%</c:v>
                </c:pt>
                <c:pt idx="13">
                  <c:v>32-35%</c:v>
                </c:pt>
                <c:pt idx="14">
                  <c:v>35-38%</c:v>
                </c:pt>
                <c:pt idx="15">
                  <c:v>38-40%</c:v>
                </c:pt>
                <c:pt idx="16">
                  <c:v>40-43%</c:v>
                </c:pt>
              </c:strCache>
            </c:strRef>
          </c:cat>
          <c:val>
            <c:numRef>
              <c:f>'Returns &amp; Simulation'!$C$70:$C$86</c:f>
              <c:numCache>
                <c:formatCode>#,##0</c:formatCode>
                <c:ptCount val="17"/>
                <c:pt idx="0">
                  <c:v>385</c:v>
                </c:pt>
                <c:pt idx="1">
                  <c:v>843</c:v>
                </c:pt>
                <c:pt idx="2">
                  <c:v>1604</c:v>
                </c:pt>
                <c:pt idx="3">
                  <c:v>2523</c:v>
                </c:pt>
                <c:pt idx="4">
                  <c:v>3407</c:v>
                </c:pt>
                <c:pt idx="5">
                  <c:v>3726</c:v>
                </c:pt>
                <c:pt idx="6">
                  <c:v>3225</c:v>
                </c:pt>
                <c:pt idx="7">
                  <c:v>2188</c:v>
                </c:pt>
                <c:pt idx="8">
                  <c:v>1203</c:v>
                </c:pt>
                <c:pt idx="9">
                  <c:v>458</c:v>
                </c:pt>
                <c:pt idx="10">
                  <c:v>176</c:v>
                </c:pt>
                <c:pt idx="11">
                  <c:v>31</c:v>
                </c:pt>
                <c:pt idx="12">
                  <c:v>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45682024"/>
        <c:axId val="96614889"/>
      </c:barChart>
      <c:catAx>
        <c:axId val="4568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14889"/>
        <c:crosses val="autoZero"/>
        <c:auto val="1"/>
        <c:lblAlgn val="ctr"/>
        <c:lblOffset val="100"/>
        <c:noMultiLvlLbl val="0"/>
      </c:catAx>
      <c:valAx>
        <c:axId val="96614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82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161280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100800</xdr:rowOff>
    </xdr:from>
    <xdr:to>
      <xdr:col>11</xdr:col>
      <xdr:colOff>324720</xdr:colOff>
      <xdr:row>36</xdr:row>
      <xdr:rowOff>154440</xdr:rowOff>
    </xdr:to>
    <xdr:graphicFrame>
      <xdr:nvGraphicFramePr>
        <xdr:cNvPr id="1" name="Chart 2"/>
        <xdr:cNvGraphicFramePr/>
      </xdr:nvGraphicFramePr>
      <xdr:xfrm>
        <a:off x="429948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101160</xdr:rowOff>
    </xdr:from>
    <xdr:to>
      <xdr:col>5</xdr:col>
      <xdr:colOff>161280</xdr:colOff>
      <xdr:row>51</xdr:row>
      <xdr:rowOff>154800</xdr:rowOff>
    </xdr:to>
    <xdr:graphicFrame>
      <xdr:nvGraphicFramePr>
        <xdr:cNvPr id="2" name="Chart 3"/>
        <xdr:cNvGraphicFramePr/>
      </xdr:nvGraphicFramePr>
      <xdr:xfrm>
        <a:off x="141120" y="7620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67</xdr:row>
      <xdr:rowOff>145440</xdr:rowOff>
    </xdr:from>
    <xdr:to>
      <xdr:col>11</xdr:col>
      <xdr:colOff>496080</xdr:colOff>
      <xdr:row>80</xdr:row>
      <xdr:rowOff>188280</xdr:rowOff>
    </xdr:to>
    <xdr:graphicFrame>
      <xdr:nvGraphicFramePr>
        <xdr:cNvPr id="3" name="Chart 1"/>
        <xdr:cNvGraphicFramePr/>
      </xdr:nvGraphicFramePr>
      <xdr:xfrm>
        <a:off x="2889720" y="12953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1"/>
    </row>
    <row r="4" customFormat="false" ht="1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customFormat="false" ht="15" hidden="false" customHeight="fals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1"/>
    </row>
    <row r="7" customFormat="false" ht="15" hidden="false" customHeight="fals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1"/>
    </row>
    <row r="8" customFormat="false" ht="3" hidden="false" customHeight="true" outlineLevel="0" collapsed="false">
      <c r="A8" s="1"/>
      <c r="B8" s="4"/>
      <c r="C8" s="4"/>
      <c r="D8" s="4"/>
      <c r="E8" s="4"/>
      <c r="F8" s="4"/>
      <c r="G8" s="4"/>
      <c r="H8" s="4"/>
      <c r="I8" s="4"/>
      <c r="J8" s="4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5" t="s">
        <v>2</v>
      </c>
      <c r="C11" s="1"/>
      <c r="D11" s="6" t="s">
        <v>3</v>
      </c>
      <c r="E11" s="6"/>
      <c r="F11" s="6"/>
      <c r="G11" s="6"/>
      <c r="H11" s="6"/>
      <c r="I11" s="6"/>
      <c r="J11" s="6"/>
      <c r="K11" s="1"/>
    </row>
    <row r="12" customFormat="false" ht="15" hidden="false" customHeight="false" outlineLevel="0" collapsed="false">
      <c r="A12" s="1"/>
      <c r="B12" s="5" t="s">
        <v>4</v>
      </c>
      <c r="C12" s="1"/>
      <c r="D12" s="6" t="s">
        <v>5</v>
      </c>
      <c r="E12" s="6"/>
      <c r="F12" s="6"/>
      <c r="G12" s="6"/>
      <c r="H12" s="6"/>
      <c r="I12" s="6"/>
      <c r="J12" s="6"/>
      <c r="K12" s="1"/>
    </row>
    <row r="13" customFormat="false" ht="15" hidden="false" customHeight="false" outlineLevel="0" collapsed="false">
      <c r="A13" s="1"/>
      <c r="B13" s="5" t="s">
        <v>6</v>
      </c>
      <c r="C13" s="1"/>
      <c r="D13" s="6" t="s">
        <v>7</v>
      </c>
      <c r="E13" s="6"/>
      <c r="F13" s="6"/>
      <c r="G13" s="6"/>
      <c r="H13" s="6"/>
      <c r="I13" s="6"/>
      <c r="J13" s="6"/>
      <c r="K13" s="1"/>
    </row>
    <row r="14" customFormat="false" ht="15" hidden="false" customHeight="false" outlineLevel="0" collapsed="false">
      <c r="A14" s="1"/>
      <c r="B14" s="5" t="s">
        <v>8</v>
      </c>
      <c r="C14" s="1"/>
      <c r="D14" s="6" t="s">
        <v>9</v>
      </c>
      <c r="E14" s="6"/>
      <c r="F14" s="6"/>
      <c r="G14" s="6"/>
      <c r="H14" s="6"/>
      <c r="I14" s="6"/>
      <c r="J14" s="6"/>
      <c r="K14" s="1"/>
    </row>
    <row r="15" customFormat="false" ht="15" hidden="false" customHeight="false" outlineLevel="0" collapsed="false">
      <c r="A15" s="1"/>
      <c r="B15" s="5" t="s">
        <v>10</v>
      </c>
      <c r="C15" s="1"/>
      <c r="D15" s="6" t="s">
        <v>11</v>
      </c>
      <c r="E15" s="6"/>
      <c r="F15" s="6"/>
      <c r="G15" s="6"/>
      <c r="H15" s="6"/>
      <c r="I15" s="6"/>
      <c r="J15" s="6"/>
      <c r="K15" s="1"/>
    </row>
    <row r="16" customFormat="false" ht="15" hidden="false" customHeight="false" outlineLevel="0" collapsed="false">
      <c r="A16" s="1"/>
      <c r="B16" s="5" t="s">
        <v>12</v>
      </c>
      <c r="C16" s="1"/>
      <c r="D16" s="6" t="s">
        <v>13</v>
      </c>
      <c r="E16" s="6"/>
      <c r="F16" s="6"/>
      <c r="G16" s="6"/>
      <c r="H16" s="6"/>
      <c r="I16" s="6"/>
      <c r="J16" s="6"/>
      <c r="K16" s="1"/>
    </row>
    <row r="17" customFormat="false" ht="15" hidden="false" customHeight="false" outlineLevel="0" collapsed="false">
      <c r="A17" s="1"/>
      <c r="B17" s="5" t="s">
        <v>14</v>
      </c>
      <c r="C17" s="1"/>
      <c r="D17" s="6" t="s">
        <v>15</v>
      </c>
      <c r="E17" s="6"/>
      <c r="F17" s="6"/>
      <c r="G17" s="6"/>
      <c r="H17" s="6"/>
      <c r="I17" s="6"/>
      <c r="J17" s="6"/>
      <c r="K17" s="1"/>
    </row>
    <row r="18" customFormat="false" ht="15" hidden="false" customHeight="false" outlineLevel="0" collapsed="false">
      <c r="A18" s="1"/>
      <c r="B18" s="5" t="s">
        <v>16</v>
      </c>
      <c r="C18" s="1"/>
      <c r="D18" s="6" t="s">
        <v>17</v>
      </c>
      <c r="E18" s="6"/>
      <c r="F18" s="6"/>
      <c r="G18" s="6"/>
      <c r="H18" s="6"/>
      <c r="I18" s="6"/>
      <c r="J18" s="6"/>
      <c r="K18" s="1"/>
    </row>
    <row r="19" customFormat="false" ht="15" hidden="false" customHeight="false" outlineLevel="0" collapsed="false">
      <c r="A19" s="1"/>
      <c r="B19" s="5" t="s">
        <v>18</v>
      </c>
      <c r="C19" s="1"/>
      <c r="D19" s="6" t="s">
        <v>19</v>
      </c>
      <c r="E19" s="6"/>
      <c r="F19" s="6"/>
      <c r="G19" s="6"/>
      <c r="H19" s="6"/>
      <c r="I19" s="6"/>
      <c r="J19" s="6"/>
      <c r="K19" s="1"/>
    </row>
    <row r="20" customFormat="false" ht="15" hidden="false" customHeight="false" outlineLevel="0" collapsed="false">
      <c r="A20" s="1"/>
      <c r="B20" s="5" t="s">
        <v>20</v>
      </c>
      <c r="C20" s="1"/>
      <c r="D20" s="6" t="s">
        <v>21</v>
      </c>
      <c r="E20" s="6"/>
      <c r="F20" s="6"/>
      <c r="G20" s="6"/>
      <c r="H20" s="6"/>
      <c r="I20" s="6"/>
      <c r="J20" s="6"/>
      <c r="K20" s="1"/>
    </row>
    <row r="21" customFormat="false" ht="15" hidden="false" customHeight="false" outlineLevel="0" collapsed="false">
      <c r="A21" s="1"/>
      <c r="B21" s="5" t="s">
        <v>22</v>
      </c>
      <c r="C21" s="1"/>
      <c r="D21" s="6" t="s">
        <v>23</v>
      </c>
      <c r="E21" s="6"/>
      <c r="F21" s="6"/>
      <c r="G21" s="6"/>
      <c r="H21" s="6"/>
      <c r="I21" s="6"/>
      <c r="J21" s="6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true" outlineLevel="0" collapsed="false">
      <c r="A23" s="1"/>
      <c r="B23" s="7" t="s">
        <v>24</v>
      </c>
      <c r="C23" s="7"/>
      <c r="D23" s="7"/>
      <c r="E23" s="7"/>
      <c r="F23" s="7"/>
      <c r="G23" s="7"/>
      <c r="H23" s="7"/>
      <c r="I23" s="7"/>
      <c r="J23" s="7"/>
      <c r="K23" s="1"/>
    </row>
    <row r="24" customFormat="false" ht="15" hidden="false" customHeight="false" outlineLevel="0" collapsed="false">
      <c r="A24" s="1"/>
      <c r="B24" s="7"/>
      <c r="C24" s="7"/>
      <c r="D24" s="7"/>
      <c r="E24" s="7"/>
      <c r="F24" s="7"/>
      <c r="G24" s="7"/>
      <c r="H24" s="7"/>
      <c r="I24" s="7"/>
      <c r="J24" s="7"/>
      <c r="K24" s="1"/>
    </row>
    <row r="25" customFormat="false" ht="15" hidden="false" customHeight="false" outlineLevel="0" collapsed="false">
      <c r="A25" s="1"/>
      <c r="B25" s="7"/>
      <c r="C25" s="7"/>
      <c r="D25" s="7"/>
      <c r="E25" s="7"/>
      <c r="F25" s="7"/>
      <c r="G25" s="7"/>
      <c r="H25" s="7"/>
      <c r="I25" s="7"/>
      <c r="J25" s="7"/>
      <c r="K25" s="1"/>
    </row>
    <row r="26" customFormat="false" ht="15" hidden="false" customHeight="false" outlineLevel="0" collapsed="false">
      <c r="A26" s="1"/>
      <c r="B26" s="7"/>
      <c r="C26" s="7"/>
      <c r="D26" s="7"/>
      <c r="E26" s="7"/>
      <c r="F26" s="7"/>
      <c r="G26" s="7"/>
      <c r="H26" s="7"/>
      <c r="I26" s="7"/>
      <c r="J26" s="7"/>
      <c r="K26" s="1"/>
    </row>
    <row r="27" customFormat="false" ht="15" hidden="false" customHeight="false" outlineLevel="0" collapsed="false">
      <c r="A27" s="1"/>
      <c r="B27" s="7"/>
      <c r="C27" s="7"/>
      <c r="D27" s="7"/>
      <c r="E27" s="7"/>
      <c r="F27" s="7"/>
      <c r="G27" s="7"/>
      <c r="H27" s="7"/>
      <c r="I27" s="7"/>
      <c r="J27" s="7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4">
    <mergeCell ref="B2:J5"/>
    <mergeCell ref="B6:J7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B23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1"/>
    <col collapsed="false" customWidth="true" hidden="false" outlineLevel="0" max="10" min="10" style="0" width="4"/>
  </cols>
  <sheetData>
    <row r="2" customFormat="false" ht="22.05" hidden="false" customHeight="false" outlineLevel="0" collapsed="false">
      <c r="B2" s="8" t="s">
        <v>25</v>
      </c>
      <c r="C2" s="8"/>
      <c r="D2" s="8"/>
      <c r="E2" s="8"/>
      <c r="F2" s="8"/>
      <c r="G2" s="8"/>
      <c r="H2" s="8"/>
      <c r="I2" s="8"/>
      <c r="J2" s="8"/>
    </row>
    <row r="5" customFormat="false" ht="15" hidden="false" customHeight="false" outlineLevel="0" collapsed="false"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</row>
    <row r="6" customFormat="false" ht="15" hidden="false" customHeight="false" outlineLevel="0" collapsed="false">
      <c r="B6" s="10" t="s">
        <v>33</v>
      </c>
      <c r="C6" s="11" t="n">
        <f aca="false">'P&amp;L'!C12</f>
        <v>109.1</v>
      </c>
      <c r="D6" s="11" t="n">
        <f aca="false">'P&amp;L'!D12</f>
        <v>110.4</v>
      </c>
      <c r="E6" s="11" t="n">
        <f aca="false">'P&amp;L'!E12</f>
        <v>114.376978586572</v>
      </c>
      <c r="F6" s="11" t="n">
        <f aca="false">'P&amp;L'!F12</f>
        <v>116.249784996939</v>
      </c>
      <c r="G6" s="11" t="n">
        <f aca="false">'P&amp;L'!G12</f>
        <v>119.585328751135</v>
      </c>
      <c r="H6" s="11" t="n">
        <f aca="false">'P&amp;L'!H12</f>
        <v>123.315893647203</v>
      </c>
      <c r="I6" s="11" t="n">
        <f aca="false">'P&amp;L'!I12</f>
        <v>126.958576761975</v>
      </c>
    </row>
    <row r="7" customFormat="false" ht="15" hidden="false" customHeight="false" outlineLevel="0" collapsed="false">
      <c r="B7" s="10" t="s">
        <v>34</v>
      </c>
      <c r="C7" s="11" t="n">
        <f aca="false">'P&amp;L'!C18</f>
        <v>107.6</v>
      </c>
      <c r="D7" s="11" t="n">
        <f aca="false">'P&amp;L'!D18</f>
        <v>108.9</v>
      </c>
      <c r="E7" s="11" t="n">
        <f aca="false">'P&amp;L'!E18</f>
        <v>112.876978586572</v>
      </c>
      <c r="F7" s="11" t="n">
        <f aca="false">'P&amp;L'!F18</f>
        <v>114.749784996939</v>
      </c>
      <c r="G7" s="11" t="n">
        <f aca="false">'P&amp;L'!G18</f>
        <v>118.085328751135</v>
      </c>
      <c r="H7" s="11" t="n">
        <f aca="false">'P&amp;L'!H18</f>
        <v>121.815893647203</v>
      </c>
      <c r="I7" s="11" t="n">
        <f aca="false">'P&amp;L'!I18</f>
        <v>125.458576761975</v>
      </c>
    </row>
    <row r="8" customFormat="false" ht="15" hidden="false" customHeight="false" outlineLevel="0" collapsed="false">
      <c r="B8" s="10" t="s">
        <v>35</v>
      </c>
      <c r="C8" s="12" t="n">
        <f aca="false">'P&amp;L'!C20</f>
        <v>16.4555052790347</v>
      </c>
      <c r="D8" s="12" t="n">
        <f aca="false">'P&amp;L'!D20</f>
        <v>16.6515837104072</v>
      </c>
      <c r="E8" s="12" t="n">
        <f aca="false">'P&amp;L'!E20</f>
        <v>17.3350983004808</v>
      </c>
      <c r="F8" s="12" t="n">
        <f aca="false">'P&amp;L'!F20</f>
        <v>17.6189428610093</v>
      </c>
      <c r="G8" s="12" t="n">
        <f aca="false">'P&amp;L'!G20</f>
        <v>18.1244814718301</v>
      </c>
      <c r="H8" s="12" t="n">
        <f aca="false">'P&amp;L'!H20</f>
        <v>18.6898899131862</v>
      </c>
      <c r="I8" s="12" t="n">
        <f aca="false">'P&amp;L'!I20</f>
        <v>19.2419788969347</v>
      </c>
    </row>
    <row r="9" customFormat="false" ht="15" hidden="false" customHeight="false" outlineLevel="0" collapsed="false">
      <c r="B9" s="10" t="s">
        <v>36</v>
      </c>
      <c r="C9" s="12" t="n">
        <f aca="false">'P&amp;L'!C24</f>
        <v>16.48</v>
      </c>
      <c r="D9" s="12" t="n">
        <f aca="false">'P&amp;L'!D24</f>
        <v>16.64</v>
      </c>
      <c r="E9" s="12" t="n">
        <f aca="false">'P&amp;L'!E24</f>
        <v>17.3350983004808</v>
      </c>
      <c r="F9" s="12" t="n">
        <f aca="false">'P&amp;L'!F24</f>
        <v>17.6189428610093</v>
      </c>
      <c r="G9" s="12" t="n">
        <f aca="false">'P&amp;L'!G24</f>
        <v>18.1244814718301</v>
      </c>
      <c r="H9" s="12" t="n">
        <f aca="false">'P&amp;L'!H24</f>
        <v>18.6898899131862</v>
      </c>
      <c r="I9" s="12" t="n">
        <f aca="false">'P&amp;L'!I24</f>
        <v>19.2419788969347</v>
      </c>
    </row>
    <row r="10" customFormat="false" ht="15" hidden="false" customHeight="false" outlineLevel="0" collapsed="false">
      <c r="B10" s="10" t="s">
        <v>37</v>
      </c>
      <c r="C10" s="13" t="n">
        <f aca="false">'P&amp;L'!C25</f>
        <v>1.00148854262145</v>
      </c>
      <c r="D10" s="13" t="n">
        <f aca="false">'P&amp;L'!D25</f>
        <v>0.999304347826087</v>
      </c>
      <c r="E10" s="13" t="n">
        <f aca="false">'P&amp;L'!E25</f>
        <v>1</v>
      </c>
      <c r="F10" s="13" t="n">
        <f aca="false">'P&amp;L'!F25</f>
        <v>1</v>
      </c>
      <c r="G10" s="13" t="n">
        <f aca="false">'P&amp;L'!G25</f>
        <v>1</v>
      </c>
      <c r="H10" s="13" t="n">
        <f aca="false">'P&amp;L'!H25</f>
        <v>1</v>
      </c>
      <c r="I10" s="13" t="n">
        <f aca="false">'P&amp;L'!I25</f>
        <v>1</v>
      </c>
    </row>
    <row r="11" customFormat="false" ht="15" hidden="false" customHeight="false" outlineLevel="0" collapsed="false">
      <c r="B11" s="10" t="s">
        <v>38</v>
      </c>
      <c r="C11" s="14" t="n">
        <f aca="false">'Earnings Quality'!C16</f>
        <v>0.984785250918889</v>
      </c>
      <c r="D11" s="14" t="n">
        <f aca="false">'Earnings Quality'!D16</f>
        <v>0.987099721545423</v>
      </c>
      <c r="E11" s="14" t="n">
        <f aca="false">'Earnings Quality'!E16</f>
        <v>0.986885472771388</v>
      </c>
      <c r="F11" s="14" t="n">
        <f aca="false">'Earnings Quality'!F16</f>
        <v>0.987096750329134</v>
      </c>
      <c r="G11" s="14" t="n">
        <f aca="false">'Earnings Quality'!G16</f>
        <v>0.987456655296557</v>
      </c>
      <c r="H11" s="14" t="n">
        <f aca="false">'Earnings Quality'!H16</f>
        <v>0.987836117830104</v>
      </c>
      <c r="I11" s="14" t="n">
        <f aca="false">'Earnings Quality'!I16</f>
        <v>0.988185122752185</v>
      </c>
    </row>
    <row r="12" customFormat="false" ht="15" hidden="false" customHeight="false" outlineLevel="0" collapsed="false">
      <c r="B12" s="10" t="s">
        <v>39</v>
      </c>
      <c r="C12" s="15" t="n">
        <f aca="false">Assumptions!C42</f>
        <v>2730</v>
      </c>
      <c r="D12" s="15" t="n">
        <f aca="false">Assumptions!D42</f>
        <v>2858</v>
      </c>
      <c r="E12" s="15" t="n">
        <f aca="false">Assumptions!E42</f>
        <v>2935.55463780919</v>
      </c>
      <c r="F12" s="15" t="n">
        <f aca="false">Assumptions!F42</f>
        <v>3000.510914122</v>
      </c>
      <c r="G12" s="15" t="n">
        <f aca="false">Assumptions!G42</f>
        <v>3083.10897856595</v>
      </c>
      <c r="H12" s="15" t="n">
        <f aca="false">Assumptions!H42</f>
        <v>3166.07544117916</v>
      </c>
      <c r="I12" s="15" t="n">
        <f aca="false">Assumptions!I42</f>
        <v>3249.31789667864</v>
      </c>
    </row>
    <row r="13" customFormat="false" ht="15" hidden="false" customHeight="false" outlineLevel="0" collapsed="false">
      <c r="B13" s="10" t="s">
        <v>40</v>
      </c>
      <c r="C13" s="15" t="n">
        <f aca="false">Debt!C12</f>
        <v>900</v>
      </c>
      <c r="D13" s="15" t="n">
        <f aca="false">Debt!D12</f>
        <v>935</v>
      </c>
      <c r="E13" s="15" t="n">
        <f aca="false">Debt!E12</f>
        <v>949.5</v>
      </c>
      <c r="F13" s="15" t="n">
        <f aca="false">Debt!F12</f>
        <v>956</v>
      </c>
      <c r="G13" s="15" t="n">
        <f aca="false">Debt!G12</f>
        <v>962.5</v>
      </c>
      <c r="H13" s="15" t="n">
        <f aca="false">Debt!H12</f>
        <v>969</v>
      </c>
      <c r="I13" s="15" t="n">
        <f aca="false">Debt!I12</f>
        <v>975.5</v>
      </c>
    </row>
    <row r="14" customFormat="false" ht="15" hidden="false" customHeight="false" outlineLevel="0" collapsed="false">
      <c r="B14" s="10" t="s">
        <v>41</v>
      </c>
      <c r="C14" s="13" t="n">
        <f aca="false">Debt!C27</f>
        <v>0.31</v>
      </c>
      <c r="D14" s="13" t="n">
        <f aca="false">Debt!D27</f>
        <v>0.327</v>
      </c>
      <c r="E14" s="13" t="n">
        <f aca="false">Debt!E27</f>
        <v>0.323118034894832</v>
      </c>
      <c r="F14" s="13" t="n">
        <f aca="false">Debt!F27</f>
        <v>0.318294165506458</v>
      </c>
      <c r="G14" s="13" t="n">
        <f aca="false">Debt!G27</f>
        <v>0.311881403633145</v>
      </c>
      <c r="H14" s="13" t="n">
        <f aca="false">Debt!H27</f>
        <v>0.305767413236288</v>
      </c>
      <c r="I14" s="13" t="n">
        <f aca="false">Debt!I27</f>
        <v>0.299939929302793</v>
      </c>
    </row>
    <row r="15" customFormat="false" ht="15" hidden="false" customHeight="false" outlineLevel="0" collapsed="false">
      <c r="B15" s="10" t="s">
        <v>42</v>
      </c>
      <c r="C15" s="14" t="n">
        <f aca="false">Debt!C30</f>
        <v>3.7275</v>
      </c>
      <c r="D15" s="14" t="n">
        <f aca="false">Debt!D30</f>
        <v>3.50909090909091</v>
      </c>
      <c r="E15" s="14" t="n">
        <f aca="false">Debt!E30</f>
        <v>3.6932033221268</v>
      </c>
      <c r="F15" s="14" t="n">
        <f aca="false">Debt!F30</f>
        <v>3.63738917266228</v>
      </c>
      <c r="G15" s="14" t="n">
        <f aca="false">Debt!G30</f>
        <v>3.64749056676775</v>
      </c>
      <c r="H15" s="14" t="n">
        <f aca="false">Debt!H30</f>
        <v>3.68745511726849</v>
      </c>
      <c r="I15" s="14" t="n">
        <f aca="false">Debt!I30</f>
        <v>3.71831603747843</v>
      </c>
    </row>
    <row r="16" customFormat="false" ht="15" hidden="false" customHeight="false" outlineLevel="0" collapsed="false">
      <c r="B16" s="10" t="s">
        <v>43</v>
      </c>
      <c r="C16" s="16" t="n">
        <f aca="false">'Balance Sheet'!C33</f>
        <v>2.76018099547511</v>
      </c>
      <c r="D16" s="16" t="n">
        <f aca="false">'Balance Sheet'!D33</f>
        <v>2.90045248868778</v>
      </c>
      <c r="E16" s="16" t="n">
        <f aca="false">'Balance Sheet'!E33</f>
        <v>3.00705461929249</v>
      </c>
      <c r="F16" s="16" t="n">
        <f aca="false">'Balance Sheet'!F33</f>
        <v>3.09565158248257</v>
      </c>
      <c r="G16" s="16" t="n">
        <f aca="false">'Balance Sheet'!G33</f>
        <v>3.21098663013936</v>
      </c>
      <c r="H16" s="16" t="n">
        <f aca="false">'Balance Sheet'!H33</f>
        <v>3.32688002603692</v>
      </c>
      <c r="I16" s="16" t="n">
        <f aca="false">'Balance Sheet'!I33</f>
        <v>3.44319171973119</v>
      </c>
    </row>
    <row r="17" customFormat="false" ht="15" hidden="false" customHeight="false" outlineLevel="0" collapsed="false">
      <c r="B17" s="10" t="s">
        <v>44</v>
      </c>
      <c r="C17" s="15" t="n">
        <f aca="false">'Earnings Quality'!C28</f>
        <v>50</v>
      </c>
      <c r="D17" s="15" t="n">
        <f aca="false">'Earnings Quality'!D28</f>
        <v>58</v>
      </c>
      <c r="E17" s="15" t="n">
        <f aca="false">'Earnings Quality'!E28</f>
        <v>72</v>
      </c>
      <c r="F17" s="15" t="n">
        <f aca="false">'Earnings Quality'!F28</f>
        <v>72</v>
      </c>
      <c r="G17" s="15" t="n">
        <f aca="false">'Earnings Quality'!G28</f>
        <v>72</v>
      </c>
      <c r="H17" s="15" t="n">
        <f aca="false">'Earnings Quality'!H28</f>
        <v>72</v>
      </c>
      <c r="I17" s="15" t="n">
        <f aca="false">'Earnings Quality'!I28</f>
        <v>72</v>
      </c>
    </row>
    <row r="19" customFormat="false" ht="15" hidden="false" customHeight="false" outlineLevel="0" collapsed="false">
      <c r="B19" s="17" t="s">
        <v>45</v>
      </c>
    </row>
    <row r="20" customFormat="false" ht="15" hidden="false" customHeight="false" outlineLevel="0" collapsed="false">
      <c r="B20" s="18" t="s">
        <v>33</v>
      </c>
      <c r="C20" s="11" t="n">
        <f aca="false">'P&amp;L'!C12</f>
        <v>109.1</v>
      </c>
      <c r="D20" s="11" t="n">
        <f aca="false">'P&amp;L'!D12</f>
        <v>110.4</v>
      </c>
      <c r="E20" s="11" t="n">
        <f aca="false">'P&amp;L'!E12</f>
        <v>114.376978586572</v>
      </c>
      <c r="F20" s="11" t="n">
        <f aca="false">'P&amp;L'!F12</f>
        <v>116.249784996939</v>
      </c>
      <c r="G20" s="11" t="n">
        <f aca="false">'P&amp;L'!G12</f>
        <v>119.585328751135</v>
      </c>
      <c r="H20" s="11" t="n">
        <f aca="false">'P&amp;L'!H12</f>
        <v>123.315893647203</v>
      </c>
      <c r="I20" s="11" t="n">
        <f aca="false">'P&amp;L'!I12</f>
        <v>126.958576761975</v>
      </c>
    </row>
    <row r="21" customFormat="false" ht="15" hidden="false" customHeight="false" outlineLevel="0" collapsed="false">
      <c r="B21" s="18" t="s">
        <v>46</v>
      </c>
      <c r="C21" s="11" t="n">
        <f aca="false">'P&amp;L'!C27</f>
        <v>109.2624</v>
      </c>
      <c r="D21" s="11" t="n">
        <f aca="false">'P&amp;L'!D27</f>
        <v>110.3232</v>
      </c>
      <c r="E21" s="11" t="n">
        <f aca="false">'P&amp;L'!E27</f>
        <v>114.376978586572</v>
      </c>
      <c r="F21" s="11" t="n">
        <f aca="false">'P&amp;L'!F27</f>
        <v>116.249784996939</v>
      </c>
      <c r="G21" s="11" t="n">
        <f aca="false">'P&amp;L'!G27</f>
        <v>119.585328751135</v>
      </c>
      <c r="H21" s="11" t="n">
        <f aca="false">'P&amp;L'!H27</f>
        <v>123.315893647203</v>
      </c>
      <c r="I21" s="11" t="n">
        <f aca="false">'P&amp;L'!I27</f>
        <v>126.958576761975</v>
      </c>
    </row>
    <row r="22" customFormat="false" ht="15" hidden="false" customHeight="false" outlineLevel="0" collapsed="false">
      <c r="B22" s="18" t="s">
        <v>38</v>
      </c>
      <c r="C22" s="14" t="n">
        <f aca="false">'Earnings Quality'!C16</f>
        <v>0.984785250918889</v>
      </c>
      <c r="D22" s="14" t="n">
        <f aca="false">'Earnings Quality'!D16</f>
        <v>0.987099721545423</v>
      </c>
      <c r="E22" s="14" t="n">
        <f aca="false">'Earnings Quality'!E16</f>
        <v>0.986885472771388</v>
      </c>
      <c r="F22" s="14" t="n">
        <f aca="false">'Earnings Quality'!F16</f>
        <v>0.987096750329134</v>
      </c>
      <c r="G22" s="14" t="n">
        <f aca="false">'Earnings Quality'!G16</f>
        <v>0.987456655296557</v>
      </c>
      <c r="H22" s="14" t="n">
        <f aca="false">'Earnings Quality'!H16</f>
        <v>0.987836117830104</v>
      </c>
      <c r="I22" s="14" t="n">
        <f aca="false">'Earnings Quality'!I16</f>
        <v>0.988185122752185</v>
      </c>
    </row>
    <row r="23" customFormat="false" ht="15" hidden="false" customHeight="false" outlineLevel="0" collapsed="false">
      <c r="B23" s="18" t="s">
        <v>47</v>
      </c>
      <c r="C23" s="16" t="n">
        <f aca="false">'Balance Sheet'!C33</f>
        <v>2.76018099547511</v>
      </c>
      <c r="D23" s="16" t="n">
        <f aca="false">'Balance Sheet'!D33</f>
        <v>2.90045248868778</v>
      </c>
      <c r="E23" s="16" t="n">
        <f aca="false">'Balance Sheet'!E33</f>
        <v>3.00705461929249</v>
      </c>
      <c r="F23" s="16" t="n">
        <f aca="false">'Balance Sheet'!F33</f>
        <v>3.09565158248257</v>
      </c>
      <c r="G23" s="16" t="n">
        <f aca="false">'Balance Sheet'!G33</f>
        <v>3.21098663013936</v>
      </c>
      <c r="H23" s="16" t="n">
        <f aca="false">'Balance Sheet'!H33</f>
        <v>3.32688002603692</v>
      </c>
      <c r="I23" s="16" t="n">
        <f aca="false">'Balance Sheet'!I33</f>
        <v>3.44319171973119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9" min="8" style="0" width="4"/>
  </cols>
  <sheetData>
    <row r="2" customFormat="false" ht="19.7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B4" s="10" t="s">
        <v>49</v>
      </c>
      <c r="E4" s="20" t="n">
        <v>1</v>
      </c>
    </row>
    <row r="5" customFormat="false" ht="15" hidden="false" customHeight="false" outlineLevel="0" collapsed="false">
      <c r="B5" s="10" t="s">
        <v>50</v>
      </c>
      <c r="E5" s="21" t="n">
        <v>2.5</v>
      </c>
    </row>
    <row r="6" customFormat="false" ht="15" hidden="false" customHeight="false" outlineLevel="0" collapsed="false">
      <c r="B6" s="10" t="s">
        <v>51</v>
      </c>
      <c r="E6" s="20" t="n">
        <v>1</v>
      </c>
    </row>
    <row r="8" customFormat="false" ht="15" hidden="false" customHeight="false" outlineLevel="0" collapsed="false">
      <c r="B8" s="22" t="s">
        <v>52</v>
      </c>
      <c r="C8" s="23"/>
      <c r="D8" s="23"/>
      <c r="E8" s="23"/>
      <c r="F8" s="23"/>
      <c r="G8" s="23"/>
      <c r="H8" s="23"/>
      <c r="I8" s="23"/>
    </row>
    <row r="9" customFormat="false" ht="15" hidden="false" customHeight="false" outlineLevel="0" collapsed="false">
      <c r="C9" s="24" t="s">
        <v>53</v>
      </c>
      <c r="D9" s="9" t="s">
        <v>54</v>
      </c>
      <c r="E9" s="9" t="s">
        <v>55</v>
      </c>
      <c r="F9" s="9" t="s">
        <v>56</v>
      </c>
      <c r="G9" s="9" t="s">
        <v>57</v>
      </c>
    </row>
    <row r="10" customFormat="false" ht="15" hidden="false" customHeight="false" outlineLevel="0" collapsed="false">
      <c r="B10" s="18" t="s">
        <v>58</v>
      </c>
      <c r="D10" s="25" t="n">
        <v>0</v>
      </c>
      <c r="E10" s="25" t="n">
        <v>-25</v>
      </c>
      <c r="F10" s="25" t="n">
        <v>50</v>
      </c>
      <c r="G10" s="26" t="n">
        <f aca="false">CHOOSE($E$4,D10,E10,F10)</f>
        <v>0</v>
      </c>
    </row>
    <row r="11" customFormat="false" ht="15" hidden="false" customHeight="false" outlineLevel="0" collapsed="false">
      <c r="B11" s="18" t="s">
        <v>59</v>
      </c>
      <c r="D11" s="27" t="n">
        <v>0</v>
      </c>
      <c r="E11" s="27" t="n">
        <v>0.01</v>
      </c>
      <c r="F11" s="27" t="n">
        <v>-0.015</v>
      </c>
      <c r="G11" s="28" t="n">
        <f aca="false">CHOOSE($E$4,D11,E11,F11)</f>
        <v>0</v>
      </c>
    </row>
    <row r="12" customFormat="false" ht="15" hidden="false" customHeight="false" outlineLevel="0" collapsed="false">
      <c r="B12" s="18" t="s">
        <v>60</v>
      </c>
      <c r="D12" s="29" t="n">
        <v>0</v>
      </c>
      <c r="E12" s="29" t="n">
        <v>-0.0025</v>
      </c>
      <c r="F12" s="29" t="n">
        <v>0.0075</v>
      </c>
      <c r="G12" s="30" t="n">
        <f aca="false">CHOOSE($E$4,D12,E12,F12)</f>
        <v>0</v>
      </c>
    </row>
    <row r="13" customFormat="false" ht="15" hidden="false" customHeight="false" outlineLevel="0" collapsed="false">
      <c r="B13" s="18" t="s">
        <v>61</v>
      </c>
      <c r="D13" s="31" t="n">
        <v>0</v>
      </c>
      <c r="E13" s="31" t="n">
        <v>0</v>
      </c>
      <c r="F13" s="31" t="n">
        <v>0</v>
      </c>
      <c r="G13" s="32" t="n">
        <f aca="false">CHOOSE($E$4,D13,E13,F13)</f>
        <v>0</v>
      </c>
    </row>
    <row r="14" customFormat="false" ht="15" hidden="false" customHeight="false" outlineLevel="0" collapsed="false">
      <c r="B14" s="18" t="s">
        <v>62</v>
      </c>
      <c r="D14" s="31" t="n">
        <v>1</v>
      </c>
      <c r="E14" s="31" t="n">
        <v>1</v>
      </c>
      <c r="F14" s="31" t="n">
        <v>0</v>
      </c>
      <c r="G14" s="32" t="n">
        <f aca="false">CHOOSE($E$4,D14,E14,F14)</f>
        <v>1</v>
      </c>
    </row>
    <row r="17" customFormat="false" ht="15" hidden="false" customHeight="false" outlineLevel="0" collapsed="false">
      <c r="B17" s="22" t="s">
        <v>63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64</v>
      </c>
      <c r="E18" s="33" t="n">
        <f aca="false">'Balance Sheet'!E33</f>
        <v>3.00705461929249</v>
      </c>
    </row>
    <row r="19" customFormat="false" ht="15" hidden="false" customHeight="false" outlineLevel="0" collapsed="false">
      <c r="B19" s="10" t="s">
        <v>65</v>
      </c>
      <c r="E19" s="34" t="n">
        <f aca="false">Control!E5/'Balance Sheet'!E33</f>
        <v>0.831378314168502</v>
      </c>
    </row>
    <row r="20" customFormat="false" ht="15" hidden="false" customHeight="false" outlineLevel="0" collapsed="false">
      <c r="B20" s="10" t="s">
        <v>66</v>
      </c>
      <c r="E20" s="35" t="n">
        <f aca="false">Control!E5/'Balance Sheet'!E33-1</f>
        <v>-0.168621685831498</v>
      </c>
    </row>
    <row r="21" customFormat="false" ht="15" hidden="false" customHeight="false" outlineLevel="0" collapsed="false">
      <c r="B21" s="10" t="s">
        <v>67</v>
      </c>
      <c r="E21" s="36" t="n">
        <f aca="false">'P&amp;L'!E20</f>
        <v>17.3350983004808</v>
      </c>
    </row>
    <row r="22" customFormat="false" ht="15" hidden="false" customHeight="false" outlineLevel="0" collapsed="false">
      <c r="B22" s="10" t="s">
        <v>68</v>
      </c>
      <c r="E22" s="36" t="n">
        <f aca="false">'P&amp;L'!E22</f>
        <v>17.1077566818085</v>
      </c>
    </row>
    <row r="23" customFormat="false" ht="15" hidden="false" customHeight="false" outlineLevel="0" collapsed="false">
      <c r="B23" s="10" t="s">
        <v>69</v>
      </c>
      <c r="E23" s="36" t="n">
        <f aca="false">'P&amp;L'!E24</f>
        <v>17.3350983004808</v>
      </c>
    </row>
    <row r="24" customFormat="false" ht="15" hidden="false" customHeight="false" outlineLevel="0" collapsed="false">
      <c r="B24" s="10" t="s">
        <v>70</v>
      </c>
      <c r="E24" s="35" t="n">
        <f aca="false">'P&amp;L'!E24/100/Control!E5</f>
        <v>0.0693403932019233</v>
      </c>
    </row>
    <row r="25" customFormat="false" ht="15" hidden="false" customHeight="false" outlineLevel="0" collapsed="false">
      <c r="B25" s="10" t="s">
        <v>71</v>
      </c>
      <c r="E25" s="35" t="n">
        <f aca="false">'P&amp;L'!E25</f>
        <v>1</v>
      </c>
    </row>
    <row r="26" customFormat="false" ht="15" hidden="false" customHeight="false" outlineLevel="0" collapsed="false">
      <c r="B26" s="10" t="s">
        <v>72</v>
      </c>
      <c r="E26" s="35" t="n">
        <f aca="false">'P&amp;L'!E26</f>
        <v>1.01328880360533</v>
      </c>
    </row>
    <row r="27" customFormat="false" ht="15" hidden="false" customHeight="false" outlineLevel="0" collapsed="false">
      <c r="B27" s="10" t="s">
        <v>73</v>
      </c>
      <c r="E27" s="35" t="n">
        <f aca="false">Debt!E27</f>
        <v>0.323118034894832</v>
      </c>
    </row>
    <row r="28" customFormat="false" ht="15" hidden="false" customHeight="false" outlineLevel="0" collapsed="false">
      <c r="B28" s="10" t="s">
        <v>74</v>
      </c>
      <c r="E28" s="34" t="n">
        <f aca="false">Debt!E30</f>
        <v>3.6932033221268</v>
      </c>
    </row>
    <row r="29" customFormat="false" ht="15" hidden="false" customHeight="false" outlineLevel="0" collapsed="false">
      <c r="B29" s="10" t="s">
        <v>75</v>
      </c>
      <c r="E29" s="37" t="n">
        <f aca="false">'Earnings Quality'!E28</f>
        <v>72</v>
      </c>
    </row>
    <row r="30" customFormat="false" ht="15" hidden="false" customHeight="false" outlineLevel="0" collapsed="false">
      <c r="B30" s="10" t="s">
        <v>76</v>
      </c>
      <c r="E30" s="33" t="n">
        <f aca="false">Valuation!E90</f>
        <v>2.68734431048556</v>
      </c>
    </row>
    <row r="31" customFormat="false" ht="15" hidden="false" customHeight="false" outlineLevel="0" collapsed="false">
      <c r="B31" s="10" t="s">
        <v>77</v>
      </c>
      <c r="E31" s="35" t="n">
        <f aca="false">'Returns &amp; Simulation'!E31</f>
        <v>0.131006076339116</v>
      </c>
    </row>
    <row r="32" customFormat="false" ht="15" hidden="false" customHeight="false" outlineLevel="0" collapsed="false">
      <c r="B32" s="10" t="s">
        <v>78</v>
      </c>
      <c r="E32" s="35" t="n">
        <f aca="false">Valuation!E90/Control!E5-1</f>
        <v>0.0749377241942253</v>
      </c>
    </row>
    <row r="35" customFormat="false" ht="15" hidden="false" customHeight="false" outlineLevel="0" collapsed="false">
      <c r="B35" s="22" t="s">
        <v>79</v>
      </c>
      <c r="C35" s="23"/>
      <c r="D35" s="23"/>
      <c r="E35" s="23"/>
      <c r="F35" s="23"/>
      <c r="G35" s="23"/>
      <c r="H35" s="23"/>
      <c r="I35" s="23"/>
    </row>
    <row r="36" customFormat="false" ht="24" hidden="false" customHeight="true" outlineLevel="0" collapsed="false">
      <c r="B36" s="10" t="s">
        <v>80</v>
      </c>
      <c r="C36" s="38" t="s">
        <v>81</v>
      </c>
      <c r="D36" s="38"/>
      <c r="E36" s="38"/>
      <c r="F36" s="38"/>
      <c r="G36" s="38"/>
      <c r="H36" s="38"/>
      <c r="I36" s="38"/>
    </row>
    <row r="37" customFormat="false" ht="45.75" hidden="false" customHeight="true" outlineLevel="0" collapsed="false">
      <c r="B37" s="10" t="s">
        <v>82</v>
      </c>
      <c r="C37" s="38" t="s">
        <v>83</v>
      </c>
      <c r="D37" s="38"/>
      <c r="E37" s="38"/>
      <c r="F37" s="38"/>
      <c r="G37" s="38"/>
      <c r="H37" s="38"/>
      <c r="I37" s="38"/>
    </row>
    <row r="38" customFormat="false" ht="24" hidden="false" customHeight="true" outlineLevel="0" collapsed="false">
      <c r="B38" s="10" t="s">
        <v>84</v>
      </c>
      <c r="C38" s="38" t="s">
        <v>85</v>
      </c>
      <c r="D38" s="38"/>
      <c r="E38" s="38"/>
      <c r="F38" s="38"/>
      <c r="G38" s="38"/>
      <c r="H38" s="38"/>
      <c r="I38" s="38"/>
    </row>
    <row r="39" customFormat="false" ht="24" hidden="false" customHeight="true" outlineLevel="0" collapsed="false">
      <c r="B39" s="10" t="s">
        <v>86</v>
      </c>
      <c r="C39" s="38" t="s">
        <v>87</v>
      </c>
      <c r="D39" s="38"/>
      <c r="E39" s="38"/>
      <c r="F39" s="38"/>
      <c r="G39" s="38"/>
      <c r="H39" s="38"/>
      <c r="I39" s="38"/>
    </row>
    <row r="40" customFormat="false" ht="45.75" hidden="false" customHeight="true" outlineLevel="0" collapsed="false">
      <c r="B40" s="10" t="s">
        <v>88</v>
      </c>
      <c r="C40" s="38" t="s">
        <v>89</v>
      </c>
      <c r="D40" s="38"/>
      <c r="E40" s="38"/>
      <c r="F40" s="38"/>
      <c r="G40" s="38"/>
      <c r="H40" s="38"/>
      <c r="I40" s="38"/>
    </row>
    <row r="41" customFormat="false" ht="45.75" hidden="false" customHeight="true" outlineLevel="0" collapsed="false">
      <c r="B41" s="10" t="s">
        <v>90</v>
      </c>
      <c r="C41" s="38" t="s">
        <v>91</v>
      </c>
      <c r="D41" s="38"/>
      <c r="E41" s="38"/>
      <c r="F41" s="38"/>
      <c r="G41" s="38"/>
      <c r="H41" s="38"/>
      <c r="I41" s="38"/>
    </row>
    <row r="42" customFormat="false" ht="24" hidden="false" customHeight="true" outlineLevel="0" collapsed="false">
      <c r="B42" s="10" t="s">
        <v>92</v>
      </c>
      <c r="C42" s="38" t="s">
        <v>93</v>
      </c>
      <c r="D42" s="38"/>
      <c r="E42" s="38"/>
      <c r="F42" s="38"/>
      <c r="G42" s="38"/>
      <c r="H42" s="38"/>
      <c r="I42" s="38"/>
    </row>
  </sheetData>
  <mergeCells count="8">
    <mergeCell ref="B2:I2"/>
    <mergeCell ref="C36:I36"/>
    <mergeCell ref="C37:I37"/>
    <mergeCell ref="C38:I38"/>
    <mergeCell ref="C39:I39"/>
    <mergeCell ref="C40:I40"/>
    <mergeCell ref="C41:I41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94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95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96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97</v>
      </c>
      <c r="C6" s="40" t="n">
        <v>0.0435</v>
      </c>
      <c r="D6" s="40" t="n">
        <v>0.0415</v>
      </c>
      <c r="E6" s="41" t="n">
        <v>0.036</v>
      </c>
      <c r="F6" s="41" t="n">
        <v>0.0365</v>
      </c>
      <c r="G6" s="41" t="n">
        <v>0.038</v>
      </c>
      <c r="H6" s="41" t="n">
        <v>0.039</v>
      </c>
      <c r="I6" s="41" t="n">
        <v>0.04</v>
      </c>
    </row>
    <row r="7" customFormat="false" ht="15" hidden="false" customHeight="false" outlineLevel="0" collapsed="false">
      <c r="B7" s="18" t="s">
        <v>98</v>
      </c>
    </row>
    <row r="8" customFormat="false" ht="15" hidden="false" customHeight="false" outlineLevel="0" collapsed="false">
      <c r="B8" s="18" t="s">
        <v>99</v>
      </c>
    </row>
    <row r="9" customFormat="false" ht="15" hidden="false" customHeight="false" outlineLevel="0" collapsed="false">
      <c r="B9" s="18" t="s">
        <v>100</v>
      </c>
    </row>
    <row r="10" customFormat="false" ht="15" hidden="false" customHeight="false" outlineLevel="0" collapsed="false">
      <c r="B10" s="10" t="s">
        <v>101</v>
      </c>
      <c r="C10" s="42" t="n">
        <f aca="false">AVERAGE(C6:C9)</f>
        <v>0.0435</v>
      </c>
      <c r="D10" s="42" t="n">
        <f aca="false">AVERAGE(D6:D9)</f>
        <v>0.0415</v>
      </c>
      <c r="E10" s="42" t="n">
        <f aca="false">AVERAGE(E6:E9)</f>
        <v>0.036</v>
      </c>
      <c r="F10" s="42" t="n">
        <f aca="false">AVERAGE(F6:F9)</f>
        <v>0.0365</v>
      </c>
      <c r="G10" s="42" t="n">
        <f aca="false">AVERAGE(G6:G9)</f>
        <v>0.038</v>
      </c>
      <c r="H10" s="42" t="n">
        <f aca="false">AVERAGE(H6:H9)</f>
        <v>0.039</v>
      </c>
      <c r="I10" s="42" t="n">
        <f aca="false">AVERAGE(I6:I9)</f>
        <v>0.04</v>
      </c>
    </row>
    <row r="11" customFormat="false" ht="15" hidden="false" customHeight="false" outlineLevel="0" collapsed="false">
      <c r="B11" s="10" t="s">
        <v>102</v>
      </c>
      <c r="C11" s="43" t="n">
        <f aca="false">C10</f>
        <v>0.0435</v>
      </c>
      <c r="D11" s="43" t="n">
        <f aca="false">D10</f>
        <v>0.0415</v>
      </c>
      <c r="E11" s="43" t="n">
        <f aca="false">E10</f>
        <v>0.036</v>
      </c>
      <c r="F11" s="43" t="n">
        <f aca="false">F10</f>
        <v>0.0365</v>
      </c>
      <c r="G11" s="43" t="n">
        <f aca="false">G10</f>
        <v>0.038</v>
      </c>
      <c r="H11" s="43" t="n">
        <f aca="false">H10</f>
        <v>0.039</v>
      </c>
      <c r="I11" s="43" t="n">
        <f aca="false">I10</f>
        <v>0.04</v>
      </c>
    </row>
    <row r="13" customFormat="false" ht="15" hidden="false" customHeight="false" outlineLevel="0" collapsed="false">
      <c r="B13" s="22" t="s">
        <v>103</v>
      </c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B14" s="18" t="s">
        <v>104</v>
      </c>
      <c r="C14" s="40" t="n">
        <v>0.043</v>
      </c>
      <c r="D14" s="40" t="n">
        <v>0.043</v>
      </c>
      <c r="E14" s="41" t="n">
        <v>0.043</v>
      </c>
      <c r="F14" s="41" t="n">
        <v>0.0435</v>
      </c>
      <c r="G14" s="41" t="n">
        <v>0.044</v>
      </c>
      <c r="H14" s="41" t="n">
        <v>0.0445</v>
      </c>
      <c r="I14" s="41" t="n">
        <v>0.045</v>
      </c>
    </row>
    <row r="15" customFormat="false" ht="15" hidden="false" customHeight="false" outlineLevel="0" collapsed="false">
      <c r="B15" s="18" t="s">
        <v>98</v>
      </c>
    </row>
    <row r="16" customFormat="false" ht="15" hidden="false" customHeight="false" outlineLevel="0" collapsed="false">
      <c r="B16" s="18" t="s">
        <v>99</v>
      </c>
    </row>
    <row r="17" customFormat="false" ht="15" hidden="false" customHeight="false" outlineLevel="0" collapsed="false">
      <c r="B17" s="18" t="s">
        <v>100</v>
      </c>
    </row>
    <row r="18" customFormat="false" ht="15" hidden="false" customHeight="false" outlineLevel="0" collapsed="false">
      <c r="B18" s="10" t="s">
        <v>101</v>
      </c>
      <c r="C18" s="42" t="n">
        <f aca="false">AVERAGE(C14:C17)</f>
        <v>0.043</v>
      </c>
      <c r="D18" s="42" t="n">
        <f aca="false">AVERAGE(D14:D17)</f>
        <v>0.043</v>
      </c>
      <c r="E18" s="42" t="n">
        <f aca="false">AVERAGE(E14:E17)</f>
        <v>0.043</v>
      </c>
      <c r="F18" s="42" t="n">
        <f aca="false">AVERAGE(F14:F17)</f>
        <v>0.0435</v>
      </c>
      <c r="G18" s="42" t="n">
        <f aca="false">AVERAGE(G14:G17)</f>
        <v>0.044</v>
      </c>
      <c r="H18" s="42" t="n">
        <f aca="false">AVERAGE(H14:H17)</f>
        <v>0.0445</v>
      </c>
      <c r="I18" s="42" t="n">
        <f aca="false">AVERAGE(I14:I17)</f>
        <v>0.045</v>
      </c>
    </row>
    <row r="19" customFormat="false" ht="15" hidden="false" customHeight="false" outlineLevel="0" collapsed="false">
      <c r="B19" s="10" t="s">
        <v>105</v>
      </c>
      <c r="C19" s="43" t="n">
        <f aca="false">C18</f>
        <v>0.043</v>
      </c>
      <c r="D19" s="43" t="n">
        <f aca="false">D18</f>
        <v>0.043</v>
      </c>
      <c r="E19" s="43" t="n">
        <f aca="false">E18</f>
        <v>0.043</v>
      </c>
      <c r="F19" s="43" t="n">
        <f aca="false">F18</f>
        <v>0.0435</v>
      </c>
      <c r="G19" s="43" t="n">
        <f aca="false">G18</f>
        <v>0.044</v>
      </c>
      <c r="H19" s="43" t="n">
        <f aca="false">H18</f>
        <v>0.0445</v>
      </c>
      <c r="I19" s="43" t="n">
        <f aca="false">I18</f>
        <v>0.045</v>
      </c>
    </row>
    <row r="21" customFormat="false" ht="15" hidden="false" customHeight="false" outlineLevel="0" collapsed="false">
      <c r="B21" s="22" t="s">
        <v>106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D22" s="9" t="s">
        <v>107</v>
      </c>
      <c r="E22" s="9" t="s">
        <v>108</v>
      </c>
      <c r="F22" s="9" t="s">
        <v>109</v>
      </c>
      <c r="G22" s="9" t="s">
        <v>110</v>
      </c>
    </row>
    <row r="23" customFormat="false" ht="15" hidden="false" customHeight="false" outlineLevel="0" collapsed="false">
      <c r="B23" s="18" t="s">
        <v>111</v>
      </c>
      <c r="D23" s="41" t="n">
        <v>0.0365</v>
      </c>
      <c r="E23" s="41" t="n">
        <v>0.039</v>
      </c>
      <c r="F23" s="41" t="n">
        <v>0.041</v>
      </c>
      <c r="G23" s="41" t="n">
        <v>0.0435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112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113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114</v>
      </c>
      <c r="C6" s="44" t="n">
        <v>158</v>
      </c>
      <c r="D6" s="44" t="n">
        <v>163.5</v>
      </c>
      <c r="E6" s="45" t="n">
        <f aca="false">D6*(1+E24)+E23</f>
        <v>166.1523925</v>
      </c>
      <c r="F6" s="45" t="n">
        <f aca="false">E6*(1+F24)+F23</f>
        <v>169.828917739305</v>
      </c>
      <c r="G6" s="45" t="n">
        <f aca="false">F6*(1+G24)+G23</f>
        <v>174.503968186833</v>
      </c>
      <c r="H6" s="45" t="n">
        <f aca="false">G6*(1+H24)+H23</f>
        <v>179.19986997074</v>
      </c>
      <c r="I6" s="45" t="n">
        <f aca="false">H6*(1+I24)+I23</f>
        <v>183.911392952011</v>
      </c>
    </row>
    <row r="7" customFormat="false" ht="15" hidden="false" customHeight="false" outlineLevel="0" collapsed="false">
      <c r="B7" s="18" t="s">
        <v>115</v>
      </c>
      <c r="C7" s="40" t="n">
        <v>0.0576</v>
      </c>
      <c r="D7" s="40" t="n">
        <v>0.0566</v>
      </c>
      <c r="E7" s="46" t="n">
        <f aca="false">0.0566+Control!$G$10/10000</f>
        <v>0.0566</v>
      </c>
      <c r="F7" s="46" t="n">
        <f aca="false">E7</f>
        <v>0.0566</v>
      </c>
      <c r="G7" s="46" t="n">
        <f aca="false">F7</f>
        <v>0.0566</v>
      </c>
      <c r="H7" s="46" t="n">
        <f aca="false">G7</f>
        <v>0.0566</v>
      </c>
      <c r="I7" s="46" t="n">
        <f aca="false">H7</f>
        <v>0.0566</v>
      </c>
    </row>
    <row r="8" customFormat="false" ht="15" hidden="false" customHeight="false" outlineLevel="0" collapsed="false">
      <c r="B8" s="18" t="s">
        <v>116</v>
      </c>
      <c r="C8" s="45" t="n">
        <f aca="false">C6/C7</f>
        <v>2743.05555555556</v>
      </c>
      <c r="D8" s="45" t="n">
        <f aca="false">D6/D7</f>
        <v>2888.6925795053</v>
      </c>
      <c r="E8" s="45" t="n">
        <f aca="false">E6/E7</f>
        <v>2935.55463780919</v>
      </c>
      <c r="F8" s="45" t="n">
        <f aca="false">F6/F7</f>
        <v>3000.510914122</v>
      </c>
      <c r="G8" s="45" t="n">
        <f aca="false">G6/G7</f>
        <v>3083.10897856595</v>
      </c>
      <c r="H8" s="45" t="n">
        <f aca="false">H6/H7</f>
        <v>3166.07544117916</v>
      </c>
      <c r="I8" s="45" t="n">
        <f aca="false">I6/I7</f>
        <v>3249.31789667864</v>
      </c>
    </row>
    <row r="10" customFormat="false" ht="15" hidden="false" customHeight="false" outlineLevel="0" collapsed="false">
      <c r="B10" s="22" t="s">
        <v>117</v>
      </c>
      <c r="C10" s="23"/>
      <c r="D10" s="23"/>
      <c r="E10" s="23"/>
      <c r="F10" s="23"/>
      <c r="G10" s="23"/>
      <c r="H10" s="23"/>
      <c r="I10" s="23"/>
    </row>
    <row r="11" customFormat="false" ht="15" hidden="false" customHeight="false" outlineLevel="0" collapsed="false">
      <c r="B11" s="18" t="s">
        <v>118</v>
      </c>
      <c r="C11" s="44" t="n">
        <v>0</v>
      </c>
      <c r="D11" s="44" t="n">
        <v>0</v>
      </c>
      <c r="E11" s="45" t="n">
        <f aca="false">D11*(1+E24)</f>
        <v>0</v>
      </c>
      <c r="F11" s="45" t="n">
        <f aca="false">E11*(1+F24)</f>
        <v>0</v>
      </c>
      <c r="G11" s="45" t="n">
        <f aca="false">F11*(1+G24)</f>
        <v>0</v>
      </c>
      <c r="H11" s="45" t="n">
        <f aca="false">G11*(1+H24)</f>
        <v>0</v>
      </c>
      <c r="I11" s="45" t="n">
        <f aca="false">H11*(1+I24)</f>
        <v>0</v>
      </c>
    </row>
    <row r="12" customFormat="false" ht="15" hidden="false" customHeight="false" outlineLevel="0" collapsed="false">
      <c r="B12" s="18" t="s">
        <v>119</v>
      </c>
      <c r="C12" s="40" t="n">
        <v>0.0576</v>
      </c>
      <c r="D12" s="40" t="n">
        <v>0.0566</v>
      </c>
      <c r="E12" s="46" t="n">
        <f aca="false">0.0566+Control!$G$10/10000</f>
        <v>0.0566</v>
      </c>
      <c r="F12" s="46" t="n">
        <f aca="false">E12</f>
        <v>0.0566</v>
      </c>
      <c r="G12" s="46" t="n">
        <f aca="false">F12</f>
        <v>0.0566</v>
      </c>
      <c r="H12" s="46" t="n">
        <f aca="false">G12</f>
        <v>0.0566</v>
      </c>
      <c r="I12" s="46" t="n">
        <f aca="false">H12</f>
        <v>0.0566</v>
      </c>
    </row>
    <row r="13" customFormat="false" ht="15" hidden="false" customHeight="false" outlineLevel="0" collapsed="false">
      <c r="B13" s="18" t="s">
        <v>120</v>
      </c>
      <c r="C13" s="45" t="n">
        <f aca="false">IF(C12=0,0,C11/C12)</f>
        <v>0</v>
      </c>
      <c r="D13" s="45" t="n">
        <f aca="false">IF(D12=0,0,D11/D12)</f>
        <v>0</v>
      </c>
      <c r="E13" s="45" t="n">
        <f aca="false">IF(E12=0,0,E11/E12)</f>
        <v>0</v>
      </c>
      <c r="F13" s="45" t="n">
        <f aca="false">IF(F12=0,0,F11/F12)</f>
        <v>0</v>
      </c>
      <c r="G13" s="45" t="n">
        <f aca="false">IF(G12=0,0,G11/G12)</f>
        <v>0</v>
      </c>
      <c r="H13" s="45" t="n">
        <f aca="false">IF(H12=0,0,H11/H12)</f>
        <v>0</v>
      </c>
      <c r="I13" s="45" t="n">
        <f aca="false">IF(I12=0,0,I11/I12)</f>
        <v>0</v>
      </c>
    </row>
    <row r="15" customFormat="false" ht="15" hidden="false" customHeight="false" outlineLevel="0" collapsed="false">
      <c r="B15" s="22" t="s">
        <v>121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122</v>
      </c>
      <c r="E16" s="44" t="n">
        <v>0</v>
      </c>
    </row>
    <row r="17" customFormat="false" ht="15" hidden="false" customHeight="false" outlineLevel="0" collapsed="false">
      <c r="B17" s="18" t="s">
        <v>123</v>
      </c>
      <c r="E17" s="47" t="n">
        <v>0</v>
      </c>
    </row>
    <row r="18" customFormat="false" ht="15" hidden="false" customHeight="false" outlineLevel="0" collapsed="false">
      <c r="B18" s="18" t="s">
        <v>124</v>
      </c>
      <c r="E18" s="48" t="n">
        <v>0</v>
      </c>
    </row>
    <row r="19" customFormat="false" ht="15" hidden="false" customHeight="false" outlineLevel="0" collapsed="false">
      <c r="B19" s="18" t="s">
        <v>125</v>
      </c>
      <c r="E19" s="45" t="n">
        <v>0</v>
      </c>
    </row>
    <row r="20" customFormat="false" ht="15" hidden="false" customHeight="false" outlineLevel="0" collapsed="false">
      <c r="B20" s="18" t="s">
        <v>126</v>
      </c>
      <c r="E20" s="45" t="n">
        <v>0</v>
      </c>
    </row>
    <row r="21" customFormat="false" ht="15" hidden="false" customHeight="false" outlineLevel="0" collapsed="false">
      <c r="B21" s="18" t="s">
        <v>127</v>
      </c>
      <c r="E21" s="45" t="n">
        <v>0</v>
      </c>
    </row>
    <row r="22" customFormat="false" ht="15" hidden="false" customHeight="false" outlineLevel="0" collapsed="false">
      <c r="B22" s="22" t="s">
        <v>128</v>
      </c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B23" s="18" t="s">
        <v>129</v>
      </c>
      <c r="C23" s="45" t="n">
        <v>0</v>
      </c>
      <c r="D23" s="45" t="n">
        <v>0</v>
      </c>
      <c r="E23" s="44" t="n">
        <v>-2</v>
      </c>
      <c r="F23" s="44" t="n">
        <v>-1</v>
      </c>
      <c r="G23" s="44" t="n">
        <v>0</v>
      </c>
      <c r="H23" s="44" t="n">
        <v>0</v>
      </c>
      <c r="I23" s="44" t="n">
        <v>0</v>
      </c>
    </row>
    <row r="24" customFormat="false" ht="15" hidden="false" customHeight="false" outlineLevel="0" collapsed="false">
      <c r="B24" s="18" t="s">
        <v>130</v>
      </c>
      <c r="C24" s="48" t="n">
        <v>0</v>
      </c>
      <c r="D24" s="48" t="n">
        <v>0</v>
      </c>
      <c r="E24" s="49" t="n">
        <f aca="false">E50</f>
        <v>0.0284550000000001</v>
      </c>
      <c r="F24" s="49" t="n">
        <f aca="false">F50</f>
        <v>0.028146</v>
      </c>
      <c r="G24" s="49" t="n">
        <f aca="false">G50</f>
        <v>0.027528</v>
      </c>
      <c r="H24" s="49" t="n">
        <f aca="false">H50</f>
        <v>0.02691</v>
      </c>
      <c r="I24" s="49" t="n">
        <f aca="false">I50</f>
        <v>0.026292</v>
      </c>
    </row>
    <row r="25" customFormat="false" ht="15" hidden="false" customHeight="false" outlineLevel="0" collapsed="false">
      <c r="B25" s="18" t="s">
        <v>131</v>
      </c>
      <c r="C25" s="47" t="n">
        <v>1</v>
      </c>
      <c r="D25" s="47" t="n">
        <v>1</v>
      </c>
      <c r="E25" s="47" t="n">
        <v>1</v>
      </c>
      <c r="F25" s="47" t="n">
        <v>1</v>
      </c>
      <c r="G25" s="47" t="n">
        <v>1</v>
      </c>
      <c r="H25" s="47" t="n">
        <v>1</v>
      </c>
      <c r="I25" s="47" t="n">
        <v>1</v>
      </c>
    </row>
    <row r="27" customFormat="false" ht="15" hidden="false" customHeight="false" outlineLevel="0" collapsed="false">
      <c r="B27" s="22" t="s">
        <v>132</v>
      </c>
      <c r="C27" s="23"/>
      <c r="D27" s="23"/>
      <c r="E27" s="23"/>
      <c r="F27" s="23"/>
      <c r="G27" s="23"/>
      <c r="H27" s="23"/>
      <c r="I27" s="23"/>
    </row>
    <row r="28" customFormat="false" ht="15" hidden="false" customHeight="false" outlineLevel="0" collapsed="false">
      <c r="B28" s="18" t="s">
        <v>133</v>
      </c>
      <c r="C28" s="44" t="n">
        <v>8.4</v>
      </c>
      <c r="D28" s="44" t="n">
        <v>8.6</v>
      </c>
      <c r="E28" s="45" t="n">
        <f aca="false">(E42)*$E$30</f>
        <v>8.80666391342756</v>
      </c>
      <c r="F28" s="45" t="n">
        <f aca="false">(F42)*$E$30</f>
        <v>9.00153274236599</v>
      </c>
      <c r="G28" s="45" t="n">
        <f aca="false">(G42)*$E$30</f>
        <v>9.24932693569784</v>
      </c>
      <c r="H28" s="45" t="n">
        <f aca="false">(H42)*$E$30</f>
        <v>9.49822632353747</v>
      </c>
      <c r="I28" s="45" t="n">
        <f aca="false">(I42)*$E$30</f>
        <v>9.74795369003592</v>
      </c>
    </row>
    <row r="29" customFormat="false" ht="15" hidden="false" customHeight="false" outlineLevel="0" collapsed="false">
      <c r="B29" s="18" t="s">
        <v>134</v>
      </c>
      <c r="C29" s="44" t="n">
        <v>0.5</v>
      </c>
      <c r="D29" s="44" t="n">
        <v>0.5</v>
      </c>
      <c r="E29" s="44" t="n">
        <v>0.5</v>
      </c>
      <c r="F29" s="44" t="n">
        <v>0.5</v>
      </c>
      <c r="G29" s="44" t="n">
        <v>0.5</v>
      </c>
      <c r="H29" s="44" t="n">
        <v>0.5</v>
      </c>
      <c r="I29" s="44" t="n">
        <v>0.5</v>
      </c>
    </row>
    <row r="30" customFormat="false" ht="15" hidden="false" customHeight="false" outlineLevel="0" collapsed="false">
      <c r="B30" s="18" t="s">
        <v>135</v>
      </c>
      <c r="E30" s="40" t="n">
        <v>0.003</v>
      </c>
    </row>
    <row r="31" customFormat="false" ht="15" hidden="false" customHeight="false" outlineLevel="0" collapsed="false">
      <c r="B31" s="18" t="s">
        <v>136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4" t="n">
        <v>1</v>
      </c>
      <c r="I31" s="44" t="n">
        <v>1</v>
      </c>
    </row>
    <row r="32" customFormat="false" ht="15" hidden="false" customHeight="false" outlineLevel="0" collapsed="false">
      <c r="B32" s="18" t="s">
        <v>137</v>
      </c>
      <c r="C32" s="44" t="n">
        <v>0.5</v>
      </c>
      <c r="D32" s="44" t="n">
        <v>0.5</v>
      </c>
      <c r="E32" s="44" t="n">
        <v>0.5</v>
      </c>
      <c r="F32" s="44" t="n">
        <v>0.5</v>
      </c>
      <c r="G32" s="44" t="n">
        <v>0.5</v>
      </c>
      <c r="H32" s="44" t="n">
        <v>0.5</v>
      </c>
      <c r="I32" s="44" t="n">
        <v>0.5</v>
      </c>
    </row>
    <row r="33" customFormat="false" ht="15" hidden="false" customHeight="false" outlineLevel="0" collapsed="false">
      <c r="B33" s="18" t="s">
        <v>138</v>
      </c>
      <c r="E33" s="50" t="n">
        <v>1</v>
      </c>
    </row>
    <row r="34" customFormat="false" ht="15" hidden="false" customHeight="false" outlineLevel="0" collapsed="false">
      <c r="B34" s="22" t="s">
        <v>139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140</v>
      </c>
      <c r="C35" s="51" t="n">
        <v>16.48</v>
      </c>
      <c r="D35" s="51" t="n">
        <v>16.64</v>
      </c>
      <c r="E35" s="52" t="n">
        <f aca="false">MIN('P&amp;L'!E20*$E$33,'P&amp;L'!E20)</f>
        <v>17.3350983004808</v>
      </c>
      <c r="F35" s="52" t="n">
        <f aca="false">MIN('P&amp;L'!F20*$E$33,'P&amp;L'!F20)</f>
        <v>17.6189428610093</v>
      </c>
      <c r="G35" s="52" t="n">
        <f aca="false">MIN('P&amp;L'!G20*$E$33,'P&amp;L'!G20)</f>
        <v>18.1244814718301</v>
      </c>
      <c r="H35" s="52" t="n">
        <f aca="false">MIN('P&amp;L'!H20*$E$33,'P&amp;L'!H20)</f>
        <v>18.6898899131862</v>
      </c>
      <c r="I35" s="52" t="n">
        <f aca="false">MIN('P&amp;L'!I20*$E$33,'P&amp;L'!I20)</f>
        <v>19.2419788969347</v>
      </c>
    </row>
    <row r="36" customFormat="false" ht="15" hidden="false" customHeight="false" outlineLevel="0" collapsed="false">
      <c r="B36" s="18" t="s">
        <v>141</v>
      </c>
      <c r="C36" s="47" t="n">
        <v>0.4</v>
      </c>
      <c r="D36" s="47" t="n">
        <v>0.4</v>
      </c>
      <c r="E36" s="47" t="n">
        <v>0.4</v>
      </c>
      <c r="F36" s="47" t="n">
        <v>0.4</v>
      </c>
      <c r="G36" s="47" t="n">
        <v>0.4</v>
      </c>
      <c r="H36" s="47" t="n">
        <v>0.4</v>
      </c>
      <c r="I36" s="47" t="n">
        <v>0.4</v>
      </c>
    </row>
    <row r="37" customFormat="false" ht="15" hidden="false" customHeight="false" outlineLevel="0" collapsed="false">
      <c r="B37" s="18" t="s">
        <v>142</v>
      </c>
      <c r="C37" s="44" t="n">
        <v>0</v>
      </c>
      <c r="D37" s="44" t="n">
        <v>20</v>
      </c>
      <c r="E37" s="45" t="n">
        <f aca="false">8*Control!$G$14</f>
        <v>8</v>
      </c>
      <c r="F37" s="45" t="n">
        <f aca="false">0*Control!$G$14</f>
        <v>0</v>
      </c>
      <c r="G37" s="45" t="n">
        <f aca="false">0*Control!$G$14</f>
        <v>0</v>
      </c>
      <c r="H37" s="45" t="n">
        <f aca="false">0*Control!$G$14</f>
        <v>0</v>
      </c>
      <c r="I37" s="45" t="n">
        <f aca="false">0*Control!$G$14</f>
        <v>0</v>
      </c>
    </row>
    <row r="38" customFormat="false" ht="15" hidden="false" customHeight="false" outlineLevel="0" collapsed="false">
      <c r="B38" s="18" t="s">
        <v>143</v>
      </c>
      <c r="C38" s="53" t="n">
        <v>663</v>
      </c>
      <c r="D38" s="54" t="n">
        <f aca="false">C39</f>
        <v>663</v>
      </c>
      <c r="E38" s="54" t="n">
        <f aca="false">D39</f>
        <v>663</v>
      </c>
      <c r="F38" s="54" t="n">
        <f aca="false">E39</f>
        <v>659.8</v>
      </c>
      <c r="G38" s="54" t="n">
        <f aca="false">F39</f>
        <v>659.8</v>
      </c>
      <c r="H38" s="54" t="n">
        <f aca="false">G39</f>
        <v>659.8</v>
      </c>
      <c r="I38" s="54" t="n">
        <f aca="false">H39</f>
        <v>659.8</v>
      </c>
    </row>
    <row r="39" customFormat="false" ht="15" hidden="false" customHeight="false" outlineLevel="0" collapsed="false">
      <c r="B39" s="18" t="s">
        <v>144</v>
      </c>
      <c r="C39" s="54" t="n">
        <f aca="false">C38</f>
        <v>663</v>
      </c>
      <c r="D39" s="54" t="n">
        <f aca="false">D38</f>
        <v>663</v>
      </c>
      <c r="E39" s="54" t="n">
        <f aca="false">E38-E37/Control!$E$5</f>
        <v>659.8</v>
      </c>
      <c r="F39" s="54" t="n">
        <f aca="false">F38-F37/Control!$E$5</f>
        <v>659.8</v>
      </c>
      <c r="G39" s="54" t="n">
        <f aca="false">G38-G37/Control!$E$5</f>
        <v>659.8</v>
      </c>
      <c r="H39" s="54" t="n">
        <f aca="false">H38-H37/Control!$E$5</f>
        <v>659.8</v>
      </c>
      <c r="I39" s="54" t="n">
        <f aca="false">I38-I37/Control!$E$5</f>
        <v>659.8</v>
      </c>
    </row>
    <row r="41" customFormat="false" ht="15" hidden="false" customHeight="false" outlineLevel="0" collapsed="false">
      <c r="B41" s="22" t="s">
        <v>145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0" t="s">
        <v>146</v>
      </c>
      <c r="C42" s="44" t="n">
        <v>2730</v>
      </c>
      <c r="D42" s="44" t="n">
        <v>2858</v>
      </c>
      <c r="E42" s="55" t="n">
        <f aca="false">E8+E13</f>
        <v>2935.55463780919</v>
      </c>
      <c r="F42" s="55" t="n">
        <f aca="false">F8+F13</f>
        <v>3000.510914122</v>
      </c>
      <c r="G42" s="55" t="n">
        <f aca="false">G8+G13</f>
        <v>3083.10897856595</v>
      </c>
      <c r="H42" s="55" t="n">
        <f aca="false">H8+H13</f>
        <v>3166.07544117916</v>
      </c>
      <c r="I42" s="55" t="n">
        <f aca="false">I8+I13</f>
        <v>3249.31789667864</v>
      </c>
    </row>
    <row r="43" customFormat="false" ht="15" hidden="false" customHeight="false" outlineLevel="0" collapsed="false">
      <c r="B43" s="10" t="s">
        <v>147</v>
      </c>
      <c r="C43" s="55" t="n">
        <f aca="false">C6+C11</f>
        <v>158</v>
      </c>
      <c r="D43" s="55" t="n">
        <f aca="false">D6+D11</f>
        <v>163.5</v>
      </c>
      <c r="E43" s="55" t="n">
        <f aca="false">E6+E11</f>
        <v>166.1523925</v>
      </c>
      <c r="F43" s="55" t="n">
        <f aca="false">F6+F11</f>
        <v>169.828917739305</v>
      </c>
      <c r="G43" s="55" t="n">
        <f aca="false">G6+G11</f>
        <v>174.503968186833</v>
      </c>
      <c r="H43" s="55" t="n">
        <f aca="false">H6+H11</f>
        <v>179.19986997074</v>
      </c>
      <c r="I43" s="55" t="n">
        <f aca="false">I6+I11</f>
        <v>183.911392952011</v>
      </c>
    </row>
    <row r="44" customFormat="false" ht="15" hidden="false" customHeight="false" outlineLevel="0" collapsed="false">
      <c r="B44" s="10" t="s">
        <v>148</v>
      </c>
      <c r="C44" s="42" t="n">
        <f aca="false">C43/C42</f>
        <v>0.0578754578754579</v>
      </c>
      <c r="D44" s="42" t="n">
        <f aca="false">D43/D42</f>
        <v>0.0572078376487054</v>
      </c>
      <c r="E44" s="42" t="n">
        <f aca="false">E43/E42</f>
        <v>0.0566</v>
      </c>
      <c r="F44" s="42" t="n">
        <f aca="false">F43/F42</f>
        <v>0.0566</v>
      </c>
      <c r="G44" s="42" t="n">
        <f aca="false">G43/G42</f>
        <v>0.0566</v>
      </c>
      <c r="H44" s="42" t="n">
        <f aca="false">H43/H42</f>
        <v>0.0566</v>
      </c>
      <c r="I44" s="42" t="n">
        <f aca="false">I43/I42</f>
        <v>0.0566</v>
      </c>
    </row>
    <row r="46" customFormat="false" ht="15" hidden="false" customHeight="false" outlineLevel="0" collapsed="false">
      <c r="B46" s="22" t="s">
        <v>149</v>
      </c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B47" s="18" t="s">
        <v>150</v>
      </c>
      <c r="E47" s="48" t="n">
        <v>0.03</v>
      </c>
      <c r="F47" s="48" t="n">
        <v>0.03</v>
      </c>
      <c r="G47" s="48" t="n">
        <v>0.03</v>
      </c>
      <c r="H47" s="48" t="n">
        <v>0.03</v>
      </c>
      <c r="I47" s="48" t="n">
        <v>0.03</v>
      </c>
    </row>
    <row r="48" customFormat="false" ht="15" hidden="false" customHeight="false" outlineLevel="0" collapsed="false">
      <c r="B48" s="18" t="s">
        <v>151</v>
      </c>
      <c r="E48" s="48" t="n">
        <v>0.05</v>
      </c>
      <c r="F48" s="48" t="n">
        <v>0.06</v>
      </c>
      <c r="G48" s="48" t="n">
        <v>0.08</v>
      </c>
      <c r="H48" s="48" t="n">
        <v>0.1</v>
      </c>
      <c r="I48" s="48" t="n">
        <v>0.12</v>
      </c>
    </row>
    <row r="49" customFormat="false" ht="15" hidden="false" customHeight="false" outlineLevel="0" collapsed="false">
      <c r="B49" s="18" t="s">
        <v>152</v>
      </c>
      <c r="E49" s="48" t="n">
        <v>-0.03</v>
      </c>
      <c r="F49" s="48" t="n">
        <v>-0.03</v>
      </c>
      <c r="G49" s="48" t="n">
        <v>-0.03</v>
      </c>
      <c r="H49" s="48" t="n">
        <v>-0.03</v>
      </c>
      <c r="I49" s="48" t="n">
        <v>-0.03</v>
      </c>
    </row>
    <row r="50" customFormat="false" ht="15" hidden="false" customHeight="false" outlineLevel="0" collapsed="false">
      <c r="B50" s="10" t="s">
        <v>153</v>
      </c>
      <c r="E50" s="56" t="n">
        <f aca="false">(1+E47)*(1+E48*E49)-1</f>
        <v>0.0284550000000001</v>
      </c>
      <c r="F50" s="56" t="n">
        <f aca="false">(1+F47)*(1+F48*F49)-1</f>
        <v>0.028146</v>
      </c>
      <c r="G50" s="56" t="n">
        <f aca="false">(1+G47)*(1+G48*G49)-1</f>
        <v>0.027528</v>
      </c>
      <c r="H50" s="56" t="n">
        <f aca="false">(1+H47)*(1+H48*H49)-1</f>
        <v>0.02691</v>
      </c>
      <c r="I50" s="56" t="n">
        <f aca="false">(1+I47)*(1+I48*I49)-1</f>
        <v>0.026292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2" customFormat="false" ht="19.7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39" t="s">
        <v>155</v>
      </c>
      <c r="C3" s="39"/>
      <c r="D3" s="39"/>
      <c r="E3" s="39"/>
      <c r="F3" s="39"/>
      <c r="G3" s="39"/>
      <c r="H3" s="39"/>
      <c r="I3" s="39"/>
      <c r="J3" s="39"/>
      <c r="K3" s="39"/>
    </row>
    <row r="6" customFormat="false" ht="23.85" hidden="false" customHeight="false" outlineLevel="0" collapsed="false">
      <c r="B6" s="57" t="s">
        <v>156</v>
      </c>
      <c r="C6" s="58" t="s">
        <v>157</v>
      </c>
      <c r="D6" s="58" t="s">
        <v>158</v>
      </c>
      <c r="E6" s="58" t="s">
        <v>159</v>
      </c>
      <c r="F6" s="58" t="s">
        <v>160</v>
      </c>
      <c r="G6" s="58" t="s">
        <v>161</v>
      </c>
      <c r="H6" s="58" t="s">
        <v>162</v>
      </c>
      <c r="I6" s="58" t="s">
        <v>163</v>
      </c>
      <c r="J6" s="58" t="s">
        <v>164</v>
      </c>
      <c r="K6" s="58" t="s">
        <v>165</v>
      </c>
    </row>
    <row r="7" customFormat="false" ht="15" hidden="false" customHeight="false" outlineLevel="0" collapsed="false">
      <c r="B7" s="59" t="s">
        <v>166</v>
      </c>
      <c r="C7" s="59" t="s">
        <v>167</v>
      </c>
      <c r="D7" s="60" t="s">
        <v>168</v>
      </c>
      <c r="E7" s="59" t="s">
        <v>169</v>
      </c>
      <c r="F7" s="44" t="n">
        <v>78</v>
      </c>
      <c r="G7" s="40" t="n">
        <v>0.0555</v>
      </c>
      <c r="H7" s="45" t="n">
        <f aca="false">F7/G7</f>
        <v>1405.40540540541</v>
      </c>
      <c r="I7" s="61" t="n">
        <v>8.6</v>
      </c>
      <c r="J7" s="47" t="n">
        <v>1</v>
      </c>
      <c r="K7" s="31" t="n">
        <v>0</v>
      </c>
    </row>
    <row r="8" customFormat="false" ht="15" hidden="false" customHeight="false" outlineLevel="0" collapsed="false">
      <c r="B8" s="59" t="s">
        <v>170</v>
      </c>
      <c r="C8" s="59" t="s">
        <v>167</v>
      </c>
      <c r="D8" s="60" t="s">
        <v>171</v>
      </c>
      <c r="E8" s="59" t="s">
        <v>172</v>
      </c>
      <c r="F8" s="44" t="n">
        <v>62</v>
      </c>
      <c r="G8" s="40" t="n">
        <v>0.058</v>
      </c>
      <c r="H8" s="45" t="n">
        <f aca="false">F8/G8</f>
        <v>1068.96551724138</v>
      </c>
      <c r="I8" s="61" t="n">
        <v>8.2</v>
      </c>
      <c r="J8" s="47" t="n">
        <v>1</v>
      </c>
      <c r="K8" s="31" t="n">
        <v>0</v>
      </c>
    </row>
    <row r="9" customFormat="false" ht="15" hidden="false" customHeight="false" outlineLevel="0" collapsed="false">
      <c r="B9" s="59" t="s">
        <v>173</v>
      </c>
      <c r="C9" s="59" t="s">
        <v>167</v>
      </c>
      <c r="D9" s="60" t="s">
        <v>174</v>
      </c>
      <c r="E9" s="59" t="s">
        <v>175</v>
      </c>
      <c r="F9" s="44" t="n">
        <v>23.5</v>
      </c>
      <c r="G9" s="40" t="n">
        <v>0.06</v>
      </c>
      <c r="H9" s="45" t="n">
        <f aca="false">F9/G9</f>
        <v>391.666666666667</v>
      </c>
      <c r="I9" s="61" t="n">
        <v>7.5</v>
      </c>
      <c r="J9" s="47" t="n">
        <v>0.99</v>
      </c>
      <c r="K9" s="31" t="n">
        <v>0</v>
      </c>
    </row>
    <row r="11" customFormat="false" ht="15" hidden="false" customHeight="false" outlineLevel="0" collapsed="false">
      <c r="B11" s="10" t="s">
        <v>176</v>
      </c>
      <c r="F11" s="55" t="n">
        <f aca="false">SUMIF($C$7:$C$9,"Service Stations",$F$7:$F$9)</f>
        <v>163.5</v>
      </c>
      <c r="G11" s="42" t="n">
        <f aca="false">IF(H11=0,0,F11/H11)</f>
        <v>0.0570474025217394</v>
      </c>
      <c r="H11" s="55" t="n">
        <f aca="false">SUMIF($C$7:$C$9,"Service Stations",$H$7:$H$9)</f>
        <v>2866.03758931345</v>
      </c>
    </row>
    <row r="12" customFormat="false" ht="15" hidden="false" customHeight="false" outlineLevel="0" collapsed="false">
      <c r="B12" s="10" t="s">
        <v>177</v>
      </c>
      <c r="F12" s="55" t="n">
        <f aca="false">SUMIF($C$7:$C$9,"__none__",$F$7:$F$9)</f>
        <v>0</v>
      </c>
      <c r="G12" s="42" t="n">
        <f aca="false">IF(H12=0,0,F12/H12)</f>
        <v>0</v>
      </c>
      <c r="H12" s="55" t="n">
        <f aca="false">SUMIF($C$7:$C$9,"__none__",$H$7:$H$9)</f>
        <v>0</v>
      </c>
    </row>
    <row r="13" customFormat="false" ht="15" hidden="false" customHeight="false" outlineLevel="0" collapsed="false">
      <c r="B13" s="10" t="s">
        <v>178</v>
      </c>
      <c r="F13" s="55" t="n">
        <f aca="false">SUM(F11:F12)</f>
        <v>163.5</v>
      </c>
      <c r="G13" s="42" t="n">
        <f aca="false">F13/H13</f>
        <v>0.0570474025217394</v>
      </c>
      <c r="H13" s="55" t="n">
        <f aca="false">SUM(H11:H12)</f>
        <v>2866.03758931345</v>
      </c>
    </row>
    <row r="14" customFormat="false" ht="15" hidden="false" customHeight="false" outlineLevel="0" collapsed="false">
      <c r="B14" s="62" t="s">
        <v>179</v>
      </c>
      <c r="F14" s="63" t="n">
        <f aca="false">SUMIF($K$7:$K$9,1,$F$7:$F$9)</f>
        <v>0</v>
      </c>
      <c r="H14" s="63" t="n">
        <f aca="false">SUMIF($K$7:$K$9,1,$H$7:$H$9)</f>
        <v>0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180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181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182</v>
      </c>
      <c r="E6" s="64" t="n">
        <v>8.4</v>
      </c>
    </row>
    <row r="7" customFormat="false" ht="15" hidden="false" customHeight="false" outlineLevel="0" collapsed="false">
      <c r="B7" s="18" t="s">
        <v>183</v>
      </c>
      <c r="E7" s="48" t="n">
        <v>1</v>
      </c>
    </row>
    <row r="8" customFormat="false" ht="15" hidden="false" customHeight="false" outlineLevel="0" collapsed="false">
      <c r="B8" s="18" t="s">
        <v>184</v>
      </c>
      <c r="E8" s="49" t="n">
        <v>0</v>
      </c>
    </row>
    <row r="9" customFormat="false" ht="15" hidden="false" customHeight="false" outlineLevel="0" collapsed="false">
      <c r="B9" s="18" t="s">
        <v>150</v>
      </c>
      <c r="E9" s="13" t="n">
        <f aca="false">Assumptions!E47</f>
        <v>0.03</v>
      </c>
    </row>
    <row r="10" customFormat="false" ht="15" hidden="false" customHeight="false" outlineLevel="0" collapsed="false">
      <c r="B10" s="18" t="s">
        <v>152</v>
      </c>
      <c r="E10" s="13" t="n">
        <f aca="false">Assumptions!E49</f>
        <v>-0.03</v>
      </c>
    </row>
    <row r="12" customFormat="false" ht="15" hidden="false" customHeight="false" outlineLevel="0" collapsed="false">
      <c r="B12" s="22" t="s">
        <v>185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186</v>
      </c>
      <c r="C13" s="48" t="n">
        <v>0</v>
      </c>
      <c r="E13" s="13" t="n">
        <f aca="false">Assumptions!E48</f>
        <v>0.05</v>
      </c>
      <c r="F13" s="13" t="n">
        <f aca="false">Assumptions!F48</f>
        <v>0.06</v>
      </c>
      <c r="G13" s="13" t="n">
        <f aca="false">Assumptions!G48</f>
        <v>0.08</v>
      </c>
      <c r="H13" s="13" t="n">
        <f aca="false">Assumptions!H48</f>
        <v>0.1</v>
      </c>
      <c r="I13" s="13" t="n">
        <f aca="false">Assumptions!I48</f>
        <v>0.12</v>
      </c>
    </row>
    <row r="14" customFormat="false" ht="15" hidden="false" customHeight="false" outlineLevel="0" collapsed="false">
      <c r="B14" s="18" t="s">
        <v>187</v>
      </c>
      <c r="E14" s="49" t="n">
        <v>0.59</v>
      </c>
    </row>
    <row r="15" customFormat="false" ht="15" hidden="false" customHeight="false" outlineLevel="0" collapsed="false">
      <c r="B15" s="18" t="s">
        <v>188</v>
      </c>
      <c r="C15" s="49" t="n">
        <v>0</v>
      </c>
      <c r="E15" s="49" t="n">
        <f aca="false">D15+E13</f>
        <v>0.05</v>
      </c>
      <c r="F15" s="49" t="n">
        <f aca="false">E15+F13</f>
        <v>0.11</v>
      </c>
      <c r="G15" s="49" t="n">
        <f aca="false">F15+G13</f>
        <v>0.19</v>
      </c>
      <c r="H15" s="49" t="n">
        <f aca="false">G15+H13</f>
        <v>0.29</v>
      </c>
      <c r="I15" s="49" t="n">
        <f aca="false">H15+I13</f>
        <v>0.41</v>
      </c>
    </row>
    <row r="17" customFormat="false" ht="15" hidden="false" customHeight="false" outlineLevel="0" collapsed="false">
      <c r="B17" s="22" t="s">
        <v>189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8" t="s">
        <v>190</v>
      </c>
      <c r="E18" s="11" t="n">
        <f aca="false">Assumptions!D43</f>
        <v>163.5</v>
      </c>
      <c r="F18" s="11" t="n">
        <f aca="false">Assumptions!E43</f>
        <v>166.1523925</v>
      </c>
      <c r="G18" s="11" t="n">
        <f aca="false">Assumptions!F43</f>
        <v>169.828917739305</v>
      </c>
      <c r="H18" s="11" t="n">
        <f aca="false">Assumptions!G43</f>
        <v>174.503968186833</v>
      </c>
      <c r="I18" s="11" t="n">
        <f aca="false">Assumptions!H43</f>
        <v>179.19986997074</v>
      </c>
    </row>
    <row r="19" customFormat="false" ht="15" hidden="false" customHeight="false" outlineLevel="0" collapsed="false">
      <c r="B19" s="18" t="s">
        <v>191</v>
      </c>
      <c r="E19" s="45" t="n">
        <f aca="false">E18*E13</f>
        <v>8.175</v>
      </c>
      <c r="F19" s="45" t="n">
        <f aca="false">F18*F13</f>
        <v>9.96914355</v>
      </c>
      <c r="G19" s="45" t="n">
        <f aca="false">G18*G13</f>
        <v>13.5863134191444</v>
      </c>
      <c r="H19" s="45" t="n">
        <f aca="false">H18*H13</f>
        <v>17.4503968186833</v>
      </c>
      <c r="I19" s="45" t="n">
        <f aca="false">I18*I13</f>
        <v>21.5039843964888</v>
      </c>
    </row>
    <row r="20" customFormat="false" ht="15" hidden="false" customHeight="false" outlineLevel="0" collapsed="false">
      <c r="B20" s="18" t="s">
        <v>192</v>
      </c>
      <c r="E20" s="45" t="n">
        <f aca="false">E19*Assumptions!E49</f>
        <v>-0.24525</v>
      </c>
      <c r="F20" s="45" t="n">
        <f aca="false">F19*Assumptions!F49</f>
        <v>-0.2990743065</v>
      </c>
      <c r="G20" s="45" t="n">
        <f aca="false">G19*Assumptions!G49</f>
        <v>-0.407589402574332</v>
      </c>
      <c r="H20" s="45" t="n">
        <f aca="false">H19*Assumptions!H49</f>
        <v>-0.523511904560498</v>
      </c>
      <c r="I20" s="45" t="n">
        <f aca="false">I19*Assumptions!I49</f>
        <v>-0.645119531894665</v>
      </c>
    </row>
    <row r="21" customFormat="false" ht="15" hidden="false" customHeight="false" outlineLevel="0" collapsed="false">
      <c r="B21" s="18" t="s">
        <v>193</v>
      </c>
      <c r="E21" s="45" t="n">
        <f aca="false">(E18-E19)*Assumptions!E47</f>
        <v>4.65975</v>
      </c>
      <c r="F21" s="45" t="n">
        <f aca="false">(F18-F19)*Assumptions!F47</f>
        <v>4.6854974685</v>
      </c>
      <c r="G21" s="45" t="n">
        <f aca="false">(G18-G19)*Assumptions!G47</f>
        <v>4.68727812960482</v>
      </c>
      <c r="H21" s="45" t="n">
        <f aca="false">(H18-H19)*Assumptions!H47</f>
        <v>4.71160714104448</v>
      </c>
      <c r="I21" s="45" t="n">
        <f aca="false">(I18-I19)*Assumptions!I47</f>
        <v>4.73087656722754</v>
      </c>
    </row>
    <row r="22" customFormat="false" ht="15" hidden="false" customHeight="false" outlineLevel="0" collapsed="false">
      <c r="B22" s="10" t="s">
        <v>194</v>
      </c>
      <c r="E22" s="65" t="n">
        <f aca="false">E20+E21</f>
        <v>4.4145</v>
      </c>
      <c r="F22" s="65" t="n">
        <f aca="false">F20+F21</f>
        <v>4.386423162</v>
      </c>
      <c r="G22" s="65" t="n">
        <f aca="false">G20+G21</f>
        <v>4.27968872703049</v>
      </c>
      <c r="H22" s="65" t="n">
        <f aca="false">H20+H21</f>
        <v>4.18809523648398</v>
      </c>
      <c r="I22" s="65" t="n">
        <f aca="false">I20+I21</f>
        <v>4.08575703533288</v>
      </c>
    </row>
    <row r="23" customFormat="false" ht="15" hidden="false" customHeight="false" outlineLevel="0" collapsed="false">
      <c r="B23" s="10" t="s">
        <v>195</v>
      </c>
      <c r="E23" s="66" t="n">
        <f aca="false">Assumptions!E50</f>
        <v>0.0284550000000001</v>
      </c>
      <c r="F23" s="66" t="n">
        <f aca="false">Assumptions!F50</f>
        <v>0.028146</v>
      </c>
      <c r="G23" s="66" t="n">
        <f aca="false">Assumptions!G50</f>
        <v>0.027528</v>
      </c>
      <c r="H23" s="66" t="n">
        <f aca="false">Assumptions!H50</f>
        <v>0.02691</v>
      </c>
      <c r="I23" s="66" t="n">
        <f aca="false">Assumptions!I50</f>
        <v>0.026292</v>
      </c>
    </row>
    <row r="24" customFormat="false" ht="15" hidden="false" customHeight="false" outlineLevel="0" collapsed="false">
      <c r="B24" s="18" t="s">
        <v>196</v>
      </c>
      <c r="E24" s="11" t="n">
        <f aca="false">Assumptions!E23</f>
        <v>-2</v>
      </c>
      <c r="F24" s="11" t="n">
        <f aca="false">Assumptions!F23</f>
        <v>-1</v>
      </c>
      <c r="G24" s="11" t="n">
        <f aca="false">Assumptions!G23</f>
        <v>0</v>
      </c>
      <c r="H24" s="11" t="n">
        <f aca="false">Assumptions!H23</f>
        <v>0</v>
      </c>
      <c r="I24" s="11" t="n">
        <f aca="false">Assumptions!I23</f>
        <v>0</v>
      </c>
    </row>
    <row r="25" customFormat="false" ht="15" hidden="false" customHeight="false" outlineLevel="0" collapsed="false">
      <c r="B25" s="10" t="s">
        <v>197</v>
      </c>
      <c r="E25" s="55" t="n">
        <f aca="false">E22+E24</f>
        <v>2.4145</v>
      </c>
      <c r="F25" s="55" t="n">
        <f aca="false">F22+F24</f>
        <v>3.386423162</v>
      </c>
      <c r="G25" s="55" t="n">
        <f aca="false">G22+G24</f>
        <v>4.27968872703049</v>
      </c>
      <c r="H25" s="55" t="n">
        <f aca="false">H22+H24</f>
        <v>4.18809523648398</v>
      </c>
      <c r="I25" s="55" t="n">
        <f aca="false">I22+I24</f>
        <v>4.08575703533288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198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199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200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201</v>
      </c>
      <c r="C6" s="53" t="n">
        <v>1150</v>
      </c>
      <c r="D6" s="53" t="n">
        <v>1150</v>
      </c>
      <c r="E6" s="53" t="n">
        <v>1150</v>
      </c>
      <c r="F6" s="53" t="n">
        <v>1150</v>
      </c>
      <c r="G6" s="53" t="n">
        <v>1150</v>
      </c>
      <c r="H6" s="53" t="n">
        <v>1150</v>
      </c>
      <c r="I6" s="53" t="n">
        <v>1150</v>
      </c>
    </row>
    <row r="7" customFormat="false" ht="15" hidden="false" customHeight="false" outlineLevel="0" collapsed="false">
      <c r="B7" s="18" t="s">
        <v>202</v>
      </c>
      <c r="C7" s="44" t="n">
        <v>935</v>
      </c>
      <c r="D7" s="45" t="n">
        <f aca="false">C12</f>
        <v>900</v>
      </c>
      <c r="E7" s="45" t="n">
        <f aca="false">D12</f>
        <v>935</v>
      </c>
      <c r="F7" s="45" t="n">
        <f aca="false">E12</f>
        <v>949.5</v>
      </c>
      <c r="G7" s="45" t="n">
        <f aca="false">F12</f>
        <v>956</v>
      </c>
      <c r="H7" s="45" t="n">
        <f aca="false">G12</f>
        <v>962.5</v>
      </c>
      <c r="I7" s="45" t="n">
        <f aca="false">H12</f>
        <v>969</v>
      </c>
    </row>
    <row r="8" customFormat="false" ht="15" hidden="false" customHeight="false" outlineLevel="0" collapsed="false">
      <c r="B8" s="18" t="s">
        <v>203</v>
      </c>
      <c r="C8" s="11" t="n">
        <f aca="false">Assumptions!C20</f>
        <v>0</v>
      </c>
      <c r="D8" s="11" t="n">
        <f aca="false">Assumptions!D20</f>
        <v>0</v>
      </c>
      <c r="E8" s="11" t="n">
        <f aca="false">Assumptions!E20</f>
        <v>0</v>
      </c>
      <c r="F8" s="11" t="n">
        <f aca="false">Assumptions!F20</f>
        <v>0</v>
      </c>
      <c r="G8" s="11" t="n">
        <f aca="false">Assumptions!G20</f>
        <v>0</v>
      </c>
      <c r="H8" s="11" t="n">
        <f aca="false">Assumptions!H20</f>
        <v>0</v>
      </c>
      <c r="I8" s="11" t="n">
        <f aca="false">Assumptions!I20</f>
        <v>0</v>
      </c>
    </row>
    <row r="9" customFormat="false" ht="15" hidden="false" customHeight="false" outlineLevel="0" collapsed="false">
      <c r="B9" s="18" t="s">
        <v>204</v>
      </c>
      <c r="C9" s="44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44" t="n">
        <v>0</v>
      </c>
      <c r="I9" s="44" t="n">
        <v>0</v>
      </c>
    </row>
    <row r="10" customFormat="false" ht="15" hidden="false" customHeight="false" outlineLevel="0" collapsed="false">
      <c r="B10" s="18" t="s">
        <v>205</v>
      </c>
      <c r="C10" s="44" t="n">
        <v>0</v>
      </c>
      <c r="D10" s="44" t="n">
        <v>0</v>
      </c>
      <c r="E10" s="44" t="n">
        <v>5</v>
      </c>
      <c r="F10" s="44" t="n">
        <v>5</v>
      </c>
      <c r="G10" s="44" t="n">
        <v>5</v>
      </c>
      <c r="H10" s="44" t="n">
        <v>5</v>
      </c>
      <c r="I10" s="44" t="n">
        <v>5</v>
      </c>
    </row>
    <row r="11" customFormat="false" ht="15" hidden="false" customHeight="false" outlineLevel="0" collapsed="false">
      <c r="B11" s="18" t="s">
        <v>206</v>
      </c>
      <c r="C11" s="11" t="n">
        <f aca="false">'Cash Flow'!C12</f>
        <v>0</v>
      </c>
      <c r="D11" s="11" t="n">
        <f aca="false">'Cash Flow'!D12</f>
        <v>21.0856</v>
      </c>
      <c r="E11" s="11" t="n">
        <f aca="false">'Cash Flow'!E12</f>
        <v>9.49999999999999</v>
      </c>
      <c r="F11" s="11" t="n">
        <f aca="false">'Cash Flow'!F12</f>
        <v>1.50000000000003</v>
      </c>
      <c r="G11" s="11" t="n">
        <f aca="false">'Cash Flow'!G12</f>
        <v>1.50000000000003</v>
      </c>
      <c r="H11" s="11" t="n">
        <f aca="false">'Cash Flow'!H12</f>
        <v>1.5</v>
      </c>
      <c r="I11" s="11" t="n">
        <f aca="false">'Cash Flow'!I12</f>
        <v>1.49999999999999</v>
      </c>
    </row>
    <row r="12" customFormat="false" ht="15" hidden="false" customHeight="false" outlineLevel="0" collapsed="false">
      <c r="B12" s="10" t="s">
        <v>207</v>
      </c>
      <c r="C12" s="67" t="n">
        <v>900</v>
      </c>
      <c r="D12" s="67" t="n">
        <v>935</v>
      </c>
      <c r="E12" s="65" t="n">
        <f aca="false">E7-E8-E9+E10+E11</f>
        <v>949.5</v>
      </c>
      <c r="F12" s="65" t="n">
        <f aca="false">F7-F8-F9+F10+F11</f>
        <v>956</v>
      </c>
      <c r="G12" s="65" t="n">
        <f aca="false">G7-G8-G9+G10+G11</f>
        <v>962.5</v>
      </c>
      <c r="H12" s="65" t="n">
        <f aca="false">H7-H8-H9+H10+H11</f>
        <v>969</v>
      </c>
      <c r="I12" s="65" t="n">
        <f aca="false">I7-I8-I9+I10+I11</f>
        <v>975.5</v>
      </c>
    </row>
    <row r="13" customFormat="false" ht="15" hidden="false" customHeight="false" outlineLevel="0" collapsed="false">
      <c r="B13" s="18" t="s">
        <v>208</v>
      </c>
      <c r="C13" s="45" t="n">
        <f aca="false">(C7+C12)/2</f>
        <v>917.5</v>
      </c>
      <c r="D13" s="45" t="n">
        <f aca="false">(D7+D12)/2</f>
        <v>917.5</v>
      </c>
      <c r="E13" s="45" t="n">
        <f aca="false">(E7+E12)/2</f>
        <v>942.25</v>
      </c>
      <c r="F13" s="45" t="n">
        <f aca="false">(F7+F12)/2</f>
        <v>952.75</v>
      </c>
      <c r="G13" s="45" t="n">
        <f aca="false">(G7+G12)/2</f>
        <v>959.25</v>
      </c>
      <c r="H13" s="45" t="n">
        <f aca="false">(H7+H12)/2</f>
        <v>965.75</v>
      </c>
      <c r="I13" s="45" t="n">
        <f aca="false">(I7+I12)/2</f>
        <v>972.25</v>
      </c>
    </row>
    <row r="15" customFormat="false" ht="15" hidden="false" customHeight="false" outlineLevel="0" collapsed="false">
      <c r="B15" s="22" t="s">
        <v>209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210</v>
      </c>
      <c r="C16" s="40" t="n">
        <v>0.0435</v>
      </c>
      <c r="D16" s="40" t="n">
        <v>0.0415</v>
      </c>
      <c r="E16" s="68" t="n">
        <f aca="false">'Rates &amp; Macro'!E11</f>
        <v>0.036</v>
      </c>
      <c r="F16" s="68" t="n">
        <f aca="false">'Rates &amp; Macro'!F11</f>
        <v>0.0365</v>
      </c>
      <c r="G16" s="68" t="n">
        <f aca="false">'Rates &amp; Macro'!G11</f>
        <v>0.038</v>
      </c>
      <c r="H16" s="68" t="n">
        <f aca="false">'Rates &amp; Macro'!H11</f>
        <v>0.039</v>
      </c>
      <c r="I16" s="68" t="n">
        <f aca="false">'Rates &amp; Macro'!I11</f>
        <v>0.04</v>
      </c>
    </row>
    <row r="17" customFormat="false" ht="15" hidden="false" customHeight="false" outlineLevel="0" collapsed="false">
      <c r="B17" s="18" t="s">
        <v>211</v>
      </c>
      <c r="C17" s="40" t="n">
        <v>0.011</v>
      </c>
      <c r="D17" s="40" t="n">
        <v>0.011</v>
      </c>
      <c r="E17" s="40" t="n">
        <v>0.011</v>
      </c>
      <c r="F17" s="40" t="n">
        <v>0.011</v>
      </c>
      <c r="G17" s="40" t="n">
        <v>0.011</v>
      </c>
      <c r="H17" s="40" t="n">
        <v>0.011</v>
      </c>
      <c r="I17" s="40" t="n">
        <v>0.011</v>
      </c>
    </row>
    <row r="18" customFormat="false" ht="15" hidden="false" customHeight="false" outlineLevel="0" collapsed="false">
      <c r="B18" s="18" t="s">
        <v>212</v>
      </c>
      <c r="C18" s="46" t="n">
        <f aca="false">C16+C17</f>
        <v>0.0545</v>
      </c>
      <c r="D18" s="46" t="n">
        <f aca="false">D16+D17</f>
        <v>0.0525</v>
      </c>
      <c r="E18" s="46" t="n">
        <f aca="false">E16+E17</f>
        <v>0.047</v>
      </c>
      <c r="F18" s="46" t="n">
        <f aca="false">F16+F17</f>
        <v>0.0475</v>
      </c>
      <c r="G18" s="46" t="n">
        <f aca="false">G16+G17</f>
        <v>0.049</v>
      </c>
      <c r="H18" s="46" t="n">
        <f aca="false">H16+H17</f>
        <v>0.05</v>
      </c>
      <c r="I18" s="46" t="n">
        <f aca="false">I16+I17</f>
        <v>0.051</v>
      </c>
    </row>
    <row r="19" customFormat="false" ht="15" hidden="false" customHeight="false" outlineLevel="0" collapsed="false">
      <c r="B19" s="18" t="s">
        <v>213</v>
      </c>
      <c r="C19" s="47" t="n">
        <v>0.9</v>
      </c>
      <c r="D19" s="47" t="n">
        <v>0.9</v>
      </c>
      <c r="E19" s="47" t="n">
        <v>0.85</v>
      </c>
      <c r="F19" s="47" t="n">
        <v>0.8</v>
      </c>
      <c r="G19" s="47" t="n">
        <v>0.75</v>
      </c>
      <c r="H19" s="47" t="n">
        <v>0.7</v>
      </c>
      <c r="I19" s="47" t="n">
        <v>0.65</v>
      </c>
    </row>
    <row r="20" customFormat="false" ht="15" hidden="false" customHeight="false" outlineLevel="0" collapsed="false">
      <c r="B20" s="18" t="s">
        <v>214</v>
      </c>
      <c r="C20" s="69" t="n">
        <f aca="false">C19*Control!$E$6</f>
        <v>0.9</v>
      </c>
      <c r="D20" s="69" t="n">
        <f aca="false">D19*Control!$E$6</f>
        <v>0.9</v>
      </c>
      <c r="E20" s="69" t="n">
        <f aca="false">E19*Control!$E$6</f>
        <v>0.85</v>
      </c>
      <c r="F20" s="69" t="n">
        <f aca="false">F19*Control!$E$6</f>
        <v>0.8</v>
      </c>
      <c r="G20" s="69" t="n">
        <f aca="false">G19*Control!$E$6</f>
        <v>0.75</v>
      </c>
      <c r="H20" s="69" t="n">
        <f aca="false">H19*Control!$E$6</f>
        <v>0.7</v>
      </c>
      <c r="I20" s="69" t="n">
        <f aca="false">I19*Control!$E$6</f>
        <v>0.65</v>
      </c>
    </row>
    <row r="21" customFormat="false" ht="15" hidden="false" customHeight="false" outlineLevel="0" collapsed="false">
      <c r="B21" s="18" t="s">
        <v>215</v>
      </c>
      <c r="C21" s="40" t="n">
        <v>0.041</v>
      </c>
      <c r="D21" s="40" t="n">
        <v>0.044</v>
      </c>
      <c r="E21" s="40" t="n">
        <v>0.045</v>
      </c>
      <c r="F21" s="40" t="n">
        <v>0.046</v>
      </c>
      <c r="G21" s="40" t="n">
        <v>0.0465</v>
      </c>
      <c r="H21" s="40" t="n">
        <v>0.0465</v>
      </c>
      <c r="I21" s="40" t="n">
        <v>0.0465</v>
      </c>
    </row>
    <row r="22" customFormat="false" ht="15" hidden="false" customHeight="false" outlineLevel="0" collapsed="false">
      <c r="B22" s="10" t="s">
        <v>216</v>
      </c>
      <c r="C22" s="70" t="n">
        <f aca="false">C20*C21+(1-C20)*C18</f>
        <v>0.04235</v>
      </c>
      <c r="D22" s="70" t="n">
        <f aca="false">D20*D21+(1-D20)*D18</f>
        <v>0.04485</v>
      </c>
      <c r="E22" s="70" t="n">
        <f aca="false">E20*E21+(1-E20)*E18</f>
        <v>0.0453</v>
      </c>
      <c r="F22" s="70" t="n">
        <f aca="false">F20*F21+(1-F20)*F18</f>
        <v>0.0463</v>
      </c>
      <c r="G22" s="70" t="n">
        <f aca="false">G20*G21+(1-G20)*G18</f>
        <v>0.047125</v>
      </c>
      <c r="H22" s="70" t="n">
        <f aca="false">H20*H21+(1-H20)*H18</f>
        <v>0.04755</v>
      </c>
      <c r="I22" s="70" t="n">
        <f aca="false">I20*I21+(1-I20)*I18</f>
        <v>0.048075</v>
      </c>
    </row>
    <row r="23" customFormat="false" ht="15" hidden="false" customHeight="false" outlineLevel="0" collapsed="false">
      <c r="B23" s="10" t="s">
        <v>217</v>
      </c>
      <c r="C23" s="44" t="n">
        <v>40</v>
      </c>
      <c r="D23" s="44" t="n">
        <v>44</v>
      </c>
      <c r="E23" s="55" t="n">
        <f aca="false">E22*((E7+(E7-E8-E9+E10))/2)</f>
        <v>42.46875</v>
      </c>
      <c r="F23" s="55" t="n">
        <f aca="false">F22*((F7+(F7-F8-F9+F10))/2)</f>
        <v>44.0776</v>
      </c>
      <c r="G23" s="55" t="n">
        <f aca="false">G22*((G7+(G7-G8-G9+G10))/2)</f>
        <v>45.1693125</v>
      </c>
      <c r="H23" s="55" t="n">
        <f aca="false">H22*((H7+(H7-H8-H9+H10))/2)</f>
        <v>45.88575</v>
      </c>
      <c r="I23" s="55" t="n">
        <f aca="false">I22*((I7+(I7-I8-I9+I10))/2)</f>
        <v>46.7048625</v>
      </c>
    </row>
    <row r="25" customFormat="false" ht="15" hidden="false" customHeight="false" outlineLevel="0" collapsed="false">
      <c r="B25" s="22" t="s">
        <v>218</v>
      </c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B26" s="18" t="s">
        <v>219</v>
      </c>
      <c r="C26" s="11" t="n">
        <f aca="false">Assumptions!C42+'Cash Flow'!C13</f>
        <v>2733.3376</v>
      </c>
      <c r="D26" s="11" t="n">
        <f aca="false">Assumptions!D42+'Cash Flow'!D13</f>
        <v>2861</v>
      </c>
      <c r="E26" s="11" t="n">
        <f aca="false">Assumptions!E42+'Cash Flow'!E13</f>
        <v>2938.55463780919</v>
      </c>
      <c r="F26" s="11" t="n">
        <f aca="false">Assumptions!F42+'Cash Flow'!F13</f>
        <v>3003.510914122</v>
      </c>
      <c r="G26" s="11" t="n">
        <f aca="false">Assumptions!G42+'Cash Flow'!G13</f>
        <v>3086.10897856595</v>
      </c>
      <c r="H26" s="11" t="n">
        <f aca="false">Assumptions!H42+'Cash Flow'!H13</f>
        <v>3169.07544117916</v>
      </c>
      <c r="I26" s="11" t="n">
        <f aca="false">Assumptions!I42+'Cash Flow'!I13</f>
        <v>3252.31789667864</v>
      </c>
    </row>
    <row r="27" customFormat="false" ht="15" hidden="false" customHeight="false" outlineLevel="0" collapsed="false">
      <c r="B27" s="10" t="s">
        <v>220</v>
      </c>
      <c r="C27" s="48" t="n">
        <v>0.31</v>
      </c>
      <c r="D27" s="48" t="n">
        <v>0.327</v>
      </c>
      <c r="E27" s="66" t="n">
        <f aca="false">E12/E26</f>
        <v>0.323118034894832</v>
      </c>
      <c r="F27" s="66" t="n">
        <f aca="false">F12/F26</f>
        <v>0.318294165506458</v>
      </c>
      <c r="G27" s="66" t="n">
        <f aca="false">G12/G26</f>
        <v>0.311881403633145</v>
      </c>
      <c r="H27" s="66" t="n">
        <f aca="false">H12/H26</f>
        <v>0.305767413236288</v>
      </c>
      <c r="I27" s="66" t="n">
        <f aca="false">I12/I26</f>
        <v>0.299939929302793</v>
      </c>
    </row>
    <row r="28" customFormat="false" ht="15" hidden="false" customHeight="false" outlineLevel="0" collapsed="false">
      <c r="B28" s="18" t="s">
        <v>221</v>
      </c>
      <c r="C28" s="45" t="n">
        <f aca="false">C6-C12</f>
        <v>250</v>
      </c>
      <c r="D28" s="45" t="n">
        <f aca="false">D6-D12</f>
        <v>215</v>
      </c>
      <c r="E28" s="45" t="n">
        <f aca="false">E6-E12</f>
        <v>200.5</v>
      </c>
      <c r="F28" s="45" t="n">
        <f aca="false">F6-F12</f>
        <v>194</v>
      </c>
      <c r="G28" s="45" t="n">
        <f aca="false">G6-G12</f>
        <v>187.5</v>
      </c>
      <c r="H28" s="45" t="n">
        <f aca="false">H6-H12</f>
        <v>181</v>
      </c>
      <c r="I28" s="45" t="n">
        <f aca="false">I6-I12</f>
        <v>174.5</v>
      </c>
    </row>
    <row r="29" customFormat="false" ht="15" hidden="false" customHeight="false" outlineLevel="0" collapsed="false">
      <c r="B29" s="18" t="s">
        <v>222</v>
      </c>
      <c r="C29" s="11" t="n">
        <f aca="false">Assumptions!C43-Assumptions!C28-Assumptions!C29</f>
        <v>149.1</v>
      </c>
      <c r="D29" s="11" t="n">
        <f aca="false">Assumptions!D43-Assumptions!D28-Assumptions!D29</f>
        <v>154.4</v>
      </c>
      <c r="E29" s="11" t="n">
        <f aca="false">Assumptions!E43-Assumptions!E28-Assumptions!E29</f>
        <v>156.845728586572</v>
      </c>
      <c r="F29" s="11" t="n">
        <f aca="false">Assumptions!F43-Assumptions!F28-Assumptions!F29</f>
        <v>160.327384996939</v>
      </c>
      <c r="G29" s="11" t="n">
        <f aca="false">Assumptions!G43-Assumptions!G28-Assumptions!G29</f>
        <v>164.754641251135</v>
      </c>
      <c r="H29" s="11" t="n">
        <f aca="false">Assumptions!H43-Assumptions!H28-Assumptions!H29</f>
        <v>169.201643647203</v>
      </c>
      <c r="I29" s="11" t="n">
        <f aca="false">Assumptions!I43-Assumptions!I28-Assumptions!I29</f>
        <v>173.663439261975</v>
      </c>
    </row>
    <row r="30" customFormat="false" ht="15" hidden="false" customHeight="false" outlineLevel="0" collapsed="false">
      <c r="B30" s="10" t="s">
        <v>223</v>
      </c>
      <c r="C30" s="71" t="n">
        <f aca="false">C29/C23</f>
        <v>3.7275</v>
      </c>
      <c r="D30" s="71" t="n">
        <f aca="false">D29/D23</f>
        <v>3.50909090909091</v>
      </c>
      <c r="E30" s="71" t="n">
        <f aca="false">E29/E23</f>
        <v>3.6932033221268</v>
      </c>
      <c r="F30" s="71" t="n">
        <f aca="false">F29/F23</f>
        <v>3.63738917266228</v>
      </c>
      <c r="G30" s="71" t="n">
        <f aca="false">G29/G23</f>
        <v>3.64749056676775</v>
      </c>
      <c r="H30" s="71" t="n">
        <f aca="false">H29/H23</f>
        <v>3.68745511726849</v>
      </c>
      <c r="I30" s="71" t="n">
        <f aca="false">I29/I23</f>
        <v>3.71831603747843</v>
      </c>
    </row>
    <row r="32" customFormat="false" ht="15" hidden="false" customHeight="false" outlineLevel="0" collapsed="false">
      <c r="B32" s="22" t="s">
        <v>224</v>
      </c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D33" s="9" t="s">
        <v>225</v>
      </c>
      <c r="E33" s="9" t="s">
        <v>226</v>
      </c>
      <c r="F33" s="9" t="s">
        <v>227</v>
      </c>
      <c r="G33" s="9" t="s">
        <v>228</v>
      </c>
      <c r="H33" s="9" t="s">
        <v>229</v>
      </c>
      <c r="I33" s="9" t="s">
        <v>230</v>
      </c>
    </row>
    <row r="34" customFormat="false" ht="15" hidden="false" customHeight="false" outlineLevel="0" collapsed="false">
      <c r="B34" s="18" t="s">
        <v>231</v>
      </c>
      <c r="D34" s="53" t="n">
        <v>50</v>
      </c>
      <c r="E34" s="53" t="n">
        <v>300</v>
      </c>
      <c r="F34" s="53" t="n">
        <v>300</v>
      </c>
      <c r="G34" s="53" t="n">
        <v>185</v>
      </c>
      <c r="H34" s="53" t="n">
        <v>100</v>
      </c>
      <c r="I34" s="53" t="n">
        <v>0</v>
      </c>
    </row>
    <row r="35" customFormat="false" ht="15" hidden="false" customHeight="false" outlineLevel="0" collapsed="false">
      <c r="B35" s="18" t="s">
        <v>232</v>
      </c>
      <c r="D35" s="72" t="n">
        <f aca="false">SUM(D34:I34)</f>
        <v>935</v>
      </c>
    </row>
    <row r="36" customFormat="false" ht="15" hidden="false" customHeight="false" outlineLevel="0" collapsed="false">
      <c r="B36" s="18" t="s">
        <v>233</v>
      </c>
      <c r="E36" s="40" t="n">
        <v>0.011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234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235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236</v>
      </c>
      <c r="C6" s="11" t="n">
        <f aca="false">Assumptions!C43</f>
        <v>158</v>
      </c>
      <c r="D6" s="11" t="n">
        <f aca="false">Assumptions!D43</f>
        <v>163.5</v>
      </c>
      <c r="E6" s="11" t="n">
        <f aca="false">Assumptions!E43</f>
        <v>166.1523925</v>
      </c>
      <c r="F6" s="11" t="n">
        <f aca="false">Assumptions!F43</f>
        <v>169.828917739305</v>
      </c>
      <c r="G6" s="11" t="n">
        <f aca="false">Assumptions!G43</f>
        <v>174.503968186833</v>
      </c>
      <c r="H6" s="11" t="n">
        <f aca="false">Assumptions!H43</f>
        <v>179.19986997074</v>
      </c>
      <c r="I6" s="11" t="n">
        <f aca="false">Assumptions!I43</f>
        <v>183.911392952011</v>
      </c>
    </row>
    <row r="7" customFormat="false" ht="15" hidden="false" customHeight="false" outlineLevel="0" collapsed="false">
      <c r="B7" s="18" t="s">
        <v>237</v>
      </c>
      <c r="C7" s="11" t="n">
        <f aca="false">Assumptions!C28</f>
        <v>8.4</v>
      </c>
      <c r="D7" s="11" t="n">
        <f aca="false">Assumptions!D28</f>
        <v>8.6</v>
      </c>
      <c r="E7" s="11" t="n">
        <f aca="false">Assumptions!E28</f>
        <v>8.80666391342756</v>
      </c>
      <c r="F7" s="11" t="n">
        <f aca="false">Assumptions!F28</f>
        <v>9.00153274236599</v>
      </c>
      <c r="G7" s="11" t="n">
        <f aca="false">Assumptions!G28</f>
        <v>9.24932693569784</v>
      </c>
      <c r="H7" s="11" t="n">
        <f aca="false">Assumptions!H28</f>
        <v>9.49822632353747</v>
      </c>
      <c r="I7" s="11" t="n">
        <f aca="false">Assumptions!I28</f>
        <v>9.74795369003592</v>
      </c>
    </row>
    <row r="8" customFormat="false" ht="15" hidden="false" customHeight="false" outlineLevel="0" collapsed="false">
      <c r="B8" s="18" t="s">
        <v>238</v>
      </c>
      <c r="C8" s="11" t="n">
        <f aca="false">Assumptions!C29</f>
        <v>0.5</v>
      </c>
      <c r="D8" s="11" t="n">
        <f aca="false">Assumptions!D29</f>
        <v>0.5</v>
      </c>
      <c r="E8" s="11" t="n">
        <f aca="false">Assumptions!E29</f>
        <v>0.5</v>
      </c>
      <c r="F8" s="11" t="n">
        <f aca="false">Assumptions!F29</f>
        <v>0.5</v>
      </c>
      <c r="G8" s="11" t="n">
        <f aca="false">Assumptions!G29</f>
        <v>0.5</v>
      </c>
      <c r="H8" s="11" t="n">
        <f aca="false">Assumptions!H29</f>
        <v>0.5</v>
      </c>
      <c r="I8" s="11" t="n">
        <f aca="false">Assumptions!I29</f>
        <v>0.5</v>
      </c>
    </row>
    <row r="9" customFormat="false" ht="15" hidden="false" customHeight="false" outlineLevel="0" collapsed="false">
      <c r="B9" s="10" t="s">
        <v>239</v>
      </c>
      <c r="C9" s="65" t="n">
        <f aca="false">C6-C7-C8</f>
        <v>149.1</v>
      </c>
      <c r="D9" s="65" t="n">
        <f aca="false">D6-D7-D8</f>
        <v>154.4</v>
      </c>
      <c r="E9" s="65" t="n">
        <f aca="false">E6-E7-E8</f>
        <v>156.845728586572</v>
      </c>
      <c r="F9" s="65" t="n">
        <f aca="false">F6-F7-F8</f>
        <v>160.327384996939</v>
      </c>
      <c r="G9" s="65" t="n">
        <f aca="false">G6-G7-G8</f>
        <v>164.754641251135</v>
      </c>
      <c r="H9" s="65" t="n">
        <f aca="false">H6-H7-H8</f>
        <v>169.201643647203</v>
      </c>
      <c r="I9" s="65" t="n">
        <f aca="false">I6-I7-I8</f>
        <v>173.663439261975</v>
      </c>
    </row>
    <row r="10" customFormat="false" ht="15" hidden="false" customHeight="false" outlineLevel="0" collapsed="false">
      <c r="B10" s="18" t="s">
        <v>240</v>
      </c>
      <c r="C10" s="11" t="n">
        <f aca="false">Debt!C23</f>
        <v>40</v>
      </c>
      <c r="D10" s="11" t="n">
        <f aca="false">Debt!D23</f>
        <v>44</v>
      </c>
      <c r="E10" s="11" t="n">
        <f aca="false">Debt!E23</f>
        <v>42.46875</v>
      </c>
      <c r="F10" s="11" t="n">
        <f aca="false">Debt!F23</f>
        <v>44.0776</v>
      </c>
      <c r="G10" s="11" t="n">
        <f aca="false">Debt!G23</f>
        <v>45.1693125</v>
      </c>
      <c r="H10" s="11" t="n">
        <f aca="false">Debt!H23</f>
        <v>45.88575</v>
      </c>
      <c r="I10" s="11" t="n">
        <f aca="false">Debt!I23</f>
        <v>46.7048625</v>
      </c>
    </row>
    <row r="11" customFormat="false" ht="15" hidden="false" customHeight="false" outlineLevel="0" collapsed="false">
      <c r="B11" s="18" t="s">
        <v>241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</row>
    <row r="12" customFormat="false" ht="15" hidden="false" customHeight="false" outlineLevel="0" collapsed="false">
      <c r="B12" s="10" t="s">
        <v>33</v>
      </c>
      <c r="C12" s="65" t="n">
        <f aca="false">C9-C10+C11</f>
        <v>109.1</v>
      </c>
      <c r="D12" s="65" t="n">
        <f aca="false">D9-D10+D11</f>
        <v>110.4</v>
      </c>
      <c r="E12" s="65" t="n">
        <f aca="false">E9-E10+E11</f>
        <v>114.376978586572</v>
      </c>
      <c r="F12" s="65" t="n">
        <f aca="false">F9-F10+F11</f>
        <v>116.249784996939</v>
      </c>
      <c r="G12" s="65" t="n">
        <f aca="false">G9-G10+G11</f>
        <v>119.585328751135</v>
      </c>
      <c r="H12" s="65" t="n">
        <f aca="false">H9-H10+H11</f>
        <v>123.315893647203</v>
      </c>
      <c r="I12" s="65" t="n">
        <f aca="false">I9-I10+I11</f>
        <v>126.958576761975</v>
      </c>
    </row>
    <row r="14" customFormat="false" ht="15" hidden="false" customHeight="false" outlineLevel="0" collapsed="false">
      <c r="B14" s="22" t="s">
        <v>242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33</v>
      </c>
      <c r="C15" s="45" t="n">
        <f aca="false">C12</f>
        <v>109.1</v>
      </c>
      <c r="D15" s="45" t="n">
        <f aca="false">D12</f>
        <v>110.4</v>
      </c>
      <c r="E15" s="45" t="n">
        <f aca="false">E12</f>
        <v>114.376978586572</v>
      </c>
      <c r="F15" s="45" t="n">
        <f aca="false">F12</f>
        <v>116.249784996939</v>
      </c>
      <c r="G15" s="45" t="n">
        <f aca="false">G12</f>
        <v>119.585328751135</v>
      </c>
      <c r="H15" s="45" t="n">
        <f aca="false">H12</f>
        <v>123.315893647203</v>
      </c>
      <c r="I15" s="45" t="n">
        <f aca="false">I12</f>
        <v>126.958576761975</v>
      </c>
    </row>
    <row r="16" customFormat="false" ht="15" hidden="false" customHeight="false" outlineLevel="0" collapsed="false">
      <c r="B16" s="18" t="s">
        <v>243</v>
      </c>
      <c r="C16" s="11" t="n">
        <f aca="false">Assumptions!C31</f>
        <v>1</v>
      </c>
      <c r="D16" s="11" t="n">
        <f aca="false">Assumptions!D31</f>
        <v>1</v>
      </c>
      <c r="E16" s="11" t="n">
        <f aca="false">Assumptions!E31</f>
        <v>1</v>
      </c>
      <c r="F16" s="11" t="n">
        <f aca="false">Assumptions!F31</f>
        <v>1</v>
      </c>
      <c r="G16" s="11" t="n">
        <f aca="false">Assumptions!G31</f>
        <v>1</v>
      </c>
      <c r="H16" s="11" t="n">
        <f aca="false">Assumptions!H31</f>
        <v>1</v>
      </c>
      <c r="I16" s="11" t="n">
        <f aca="false">Assumptions!I31</f>
        <v>1</v>
      </c>
    </row>
    <row r="17" customFormat="false" ht="15" hidden="false" customHeight="false" outlineLevel="0" collapsed="false">
      <c r="B17" s="18" t="s">
        <v>244</v>
      </c>
      <c r="C17" s="11" t="n">
        <f aca="false">Assumptions!C32</f>
        <v>0.5</v>
      </c>
      <c r="D17" s="11" t="n">
        <f aca="false">Assumptions!D32</f>
        <v>0.5</v>
      </c>
      <c r="E17" s="11" t="n">
        <f aca="false">Assumptions!E32</f>
        <v>0.5</v>
      </c>
      <c r="F17" s="11" t="n">
        <f aca="false">Assumptions!F32</f>
        <v>0.5</v>
      </c>
      <c r="G17" s="11" t="n">
        <f aca="false">Assumptions!G32</f>
        <v>0.5</v>
      </c>
      <c r="H17" s="11" t="n">
        <f aca="false">Assumptions!H32</f>
        <v>0.5</v>
      </c>
      <c r="I17" s="11" t="n">
        <f aca="false">Assumptions!I32</f>
        <v>0.5</v>
      </c>
    </row>
    <row r="18" customFormat="false" ht="15" hidden="false" customHeight="false" outlineLevel="0" collapsed="false">
      <c r="B18" s="10" t="s">
        <v>34</v>
      </c>
      <c r="C18" s="65" t="n">
        <f aca="false">C15-C16-C17</f>
        <v>107.6</v>
      </c>
      <c r="D18" s="65" t="n">
        <f aca="false">D15-D16-D17</f>
        <v>108.9</v>
      </c>
      <c r="E18" s="65" t="n">
        <f aca="false">E15-E16-E17</f>
        <v>112.876978586572</v>
      </c>
      <c r="F18" s="65" t="n">
        <f aca="false">F15-F16-F17</f>
        <v>114.749784996939</v>
      </c>
      <c r="G18" s="65" t="n">
        <f aca="false">G15-G16-G17</f>
        <v>118.085328751135</v>
      </c>
      <c r="H18" s="65" t="n">
        <f aca="false">H15-H16-H17</f>
        <v>121.815893647203</v>
      </c>
      <c r="I18" s="65" t="n">
        <f aca="false">I15-I16-I17</f>
        <v>125.458576761975</v>
      </c>
    </row>
    <row r="19" customFormat="false" ht="15" hidden="false" customHeight="false" outlineLevel="0" collapsed="false">
      <c r="B19" s="22" t="s">
        <v>245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0" t="s">
        <v>246</v>
      </c>
      <c r="C20" s="73" t="n">
        <f aca="false">C12/Assumptions!C39*100</f>
        <v>16.4555052790347</v>
      </c>
      <c r="D20" s="73" t="n">
        <f aca="false">D12/Assumptions!D39*100</f>
        <v>16.6515837104072</v>
      </c>
      <c r="E20" s="73" t="n">
        <f aca="false">E12/Assumptions!E39*100</f>
        <v>17.3350983004808</v>
      </c>
      <c r="F20" s="73" t="n">
        <f aca="false">F12/Assumptions!F39*100</f>
        <v>17.6189428610093</v>
      </c>
      <c r="G20" s="73" t="n">
        <f aca="false">G12/Assumptions!G39*100</f>
        <v>18.1244814718301</v>
      </c>
      <c r="H20" s="73" t="n">
        <f aca="false">H12/Assumptions!H39*100</f>
        <v>18.6898899131862</v>
      </c>
      <c r="I20" s="73" t="n">
        <f aca="false">I12/Assumptions!I39*100</f>
        <v>19.2419788969347</v>
      </c>
    </row>
    <row r="22" customFormat="false" ht="15" hidden="false" customHeight="false" outlineLevel="0" collapsed="false">
      <c r="B22" s="10" t="s">
        <v>247</v>
      </c>
      <c r="C22" s="73" t="n">
        <f aca="false">C18/Assumptions!C39*100</f>
        <v>16.2292609351433</v>
      </c>
      <c r="D22" s="73" t="n">
        <f aca="false">D18/Assumptions!D39*100</f>
        <v>16.4253393665158</v>
      </c>
      <c r="E22" s="73" t="n">
        <f aca="false">E18/Assumptions!E39*100</f>
        <v>17.1077566818085</v>
      </c>
      <c r="F22" s="73" t="n">
        <f aca="false">F18/Assumptions!F39*100</f>
        <v>17.3916012423369</v>
      </c>
      <c r="G22" s="73" t="n">
        <f aca="false">G18/Assumptions!G39*100</f>
        <v>17.8971398531577</v>
      </c>
      <c r="H22" s="73" t="n">
        <f aca="false">H18/Assumptions!H39*100</f>
        <v>18.4625482945139</v>
      </c>
      <c r="I22" s="73" t="n">
        <f aca="false">I18/Assumptions!I39*100</f>
        <v>19.0146372782624</v>
      </c>
    </row>
    <row r="24" customFormat="false" ht="15" hidden="false" customHeight="false" outlineLevel="0" collapsed="false">
      <c r="B24" s="10" t="s">
        <v>248</v>
      </c>
      <c r="C24" s="74" t="n">
        <f aca="false">Assumptions!C35</f>
        <v>16.48</v>
      </c>
      <c r="D24" s="74" t="n">
        <f aca="false">Assumptions!D35</f>
        <v>16.64</v>
      </c>
      <c r="E24" s="74" t="n">
        <f aca="false">Assumptions!E35</f>
        <v>17.3350983004808</v>
      </c>
      <c r="F24" s="74" t="n">
        <f aca="false">Assumptions!F35</f>
        <v>17.6189428610093</v>
      </c>
      <c r="G24" s="74" t="n">
        <f aca="false">Assumptions!G35</f>
        <v>18.1244814718301</v>
      </c>
      <c r="H24" s="74" t="n">
        <f aca="false">Assumptions!H35</f>
        <v>18.6898899131862</v>
      </c>
      <c r="I24" s="74" t="n">
        <f aca="false">Assumptions!I35</f>
        <v>19.2419788969347</v>
      </c>
    </row>
    <row r="25" customFormat="false" ht="15" hidden="false" customHeight="false" outlineLevel="0" collapsed="false">
      <c r="B25" s="10" t="s">
        <v>249</v>
      </c>
      <c r="C25" s="66" t="n">
        <f aca="false">(C24/100*Assumptions!C39)/C12</f>
        <v>1.00148854262145</v>
      </c>
      <c r="D25" s="66" t="n">
        <f aca="false">(D24/100*Assumptions!D39)/D12</f>
        <v>0.999304347826087</v>
      </c>
      <c r="E25" s="66" t="n">
        <f aca="false">(E24/100*Assumptions!E39)/E12</f>
        <v>1</v>
      </c>
      <c r="F25" s="66" t="n">
        <f aca="false">(F24/100*Assumptions!F39)/F12</f>
        <v>1</v>
      </c>
      <c r="G25" s="66" t="n">
        <f aca="false">(G24/100*Assumptions!G39)/G12</f>
        <v>1</v>
      </c>
      <c r="H25" s="66" t="n">
        <f aca="false">(H24/100*Assumptions!H39)/H12</f>
        <v>1</v>
      </c>
      <c r="I25" s="66" t="n">
        <f aca="false">(I24/100*Assumptions!I39)/I12</f>
        <v>1</v>
      </c>
    </row>
    <row r="26" customFormat="false" ht="15" hidden="false" customHeight="false" outlineLevel="0" collapsed="false">
      <c r="B26" s="10" t="s">
        <v>250</v>
      </c>
      <c r="C26" s="66" t="n">
        <f aca="false">(C24/100*Assumptions!C39)/C18</f>
        <v>1.01544981412639</v>
      </c>
      <c r="D26" s="66" t="n">
        <f aca="false">(D24/100*Assumptions!D39)/D18</f>
        <v>1.01306887052342</v>
      </c>
      <c r="E26" s="66" t="n">
        <f aca="false">(E24/100*Assumptions!E39)/E18</f>
        <v>1.01328880360533</v>
      </c>
      <c r="F26" s="66" t="n">
        <f aca="false">(F24/100*Assumptions!F39)/F18</f>
        <v>1.01307191991724</v>
      </c>
      <c r="G26" s="66" t="n">
        <f aca="false">(G24/100*Assumptions!G39)/G18</f>
        <v>1.01270267878206</v>
      </c>
      <c r="H26" s="66" t="n">
        <f aca="false">(H24/100*Assumptions!H39)/H18</f>
        <v>1.01231366412945</v>
      </c>
      <c r="I26" s="66" t="n">
        <f aca="false">(I24/100*Assumptions!I39)/I18</f>
        <v>1.01195613754527</v>
      </c>
    </row>
    <row r="27" customFormat="false" ht="15" hidden="false" customHeight="false" outlineLevel="0" collapsed="false">
      <c r="B27" s="18" t="s">
        <v>251</v>
      </c>
      <c r="C27" s="45" t="n">
        <f aca="false">C24/100*Assumptions!C39</f>
        <v>109.2624</v>
      </c>
      <c r="D27" s="45" t="n">
        <f aca="false">D24/100*Assumptions!D39</f>
        <v>110.3232</v>
      </c>
      <c r="E27" s="45" t="n">
        <f aca="false">E24/100*Assumptions!E39</f>
        <v>114.376978586572</v>
      </c>
      <c r="F27" s="45" t="n">
        <f aca="false">F24/100*Assumptions!F39</f>
        <v>116.249784996939</v>
      </c>
      <c r="G27" s="45" t="n">
        <f aca="false">G24/100*Assumptions!G39</f>
        <v>119.585328751135</v>
      </c>
      <c r="H27" s="45" t="n">
        <f aca="false">H24/100*Assumptions!H39</f>
        <v>123.315893647203</v>
      </c>
      <c r="I27" s="45" t="n">
        <f aca="false">I24/100*Assumptions!I39</f>
        <v>126.958576761975</v>
      </c>
    </row>
    <row r="29" customFormat="false" ht="15" hidden="false" customHeight="false" outlineLevel="0" collapsed="false">
      <c r="B29" s="22" t="s">
        <v>252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</v>
      </c>
      <c r="C30" s="45" t="n">
        <f aca="false">C12</f>
        <v>109.1</v>
      </c>
      <c r="D30" s="45" t="n">
        <f aca="false">D12</f>
        <v>110.4</v>
      </c>
      <c r="E30" s="45" t="n">
        <f aca="false">E12</f>
        <v>114.376978586572</v>
      </c>
      <c r="F30" s="45" t="n">
        <f aca="false">F12</f>
        <v>116.249784996939</v>
      </c>
      <c r="G30" s="45" t="n">
        <f aca="false">G12</f>
        <v>119.585328751135</v>
      </c>
      <c r="H30" s="45" t="n">
        <f aca="false">H12</f>
        <v>123.315893647203</v>
      </c>
      <c r="I30" s="45" t="n">
        <f aca="false">I12</f>
        <v>126.958576761975</v>
      </c>
    </row>
    <row r="31" customFormat="false" ht="15" hidden="false" customHeight="false" outlineLevel="0" collapsed="false">
      <c r="B31" s="18" t="s">
        <v>253</v>
      </c>
      <c r="C31" s="44" t="n">
        <v>-8</v>
      </c>
      <c r="D31" s="11" t="n">
        <f aca="false">Assumptions!D42-Assumptions!C42+Assumptions!D21</f>
        <v>128</v>
      </c>
      <c r="E31" s="11" t="n">
        <f aca="false">Assumptions!E42-Assumptions!D42+Assumptions!E21</f>
        <v>77.5546378091876</v>
      </c>
      <c r="F31" s="11" t="n">
        <f aca="false">Assumptions!F42-Assumptions!E42+Assumptions!F21</f>
        <v>64.9562763128092</v>
      </c>
      <c r="G31" s="11" t="n">
        <f aca="false">Assumptions!G42-Assumptions!F42+Assumptions!G21</f>
        <v>82.5980644439501</v>
      </c>
      <c r="H31" s="11" t="n">
        <f aca="false">Assumptions!H42-Assumptions!G42+Assumptions!H21</f>
        <v>82.9664626132094</v>
      </c>
      <c r="I31" s="11" t="n">
        <f aca="false">Assumptions!I42-Assumptions!H42+Assumptions!I21</f>
        <v>83.2424554994823</v>
      </c>
    </row>
    <row r="32" customFormat="false" ht="15" hidden="false" customHeight="false" outlineLevel="0" collapsed="false">
      <c r="B32" s="18" t="s">
        <v>254</v>
      </c>
      <c r="C32" s="44" t="n">
        <v>1</v>
      </c>
      <c r="D32" s="44" t="n">
        <v>1.2</v>
      </c>
      <c r="E32" s="44" t="n">
        <v>1</v>
      </c>
      <c r="F32" s="44" t="n">
        <v>0.9</v>
      </c>
      <c r="G32" s="44" t="n">
        <v>0.8</v>
      </c>
      <c r="H32" s="44" t="n">
        <v>0.8</v>
      </c>
      <c r="I32" s="44" t="n">
        <v>0.8</v>
      </c>
    </row>
    <row r="33" customFormat="false" ht="15" hidden="false" customHeight="false" outlineLevel="0" collapsed="false">
      <c r="B33" s="18" t="s">
        <v>255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</row>
    <row r="34" customFormat="false" ht="15" hidden="false" customHeight="false" outlineLevel="0" collapsed="false">
      <c r="B34" s="18" t="s">
        <v>256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</row>
    <row r="35" customFormat="false" ht="15" hidden="false" customHeight="false" outlineLevel="0" collapsed="false">
      <c r="B35" s="10" t="s">
        <v>257</v>
      </c>
      <c r="C35" s="65" t="n">
        <f aca="false">C30+C31-C32+C33-C34</f>
        <v>100.1</v>
      </c>
      <c r="D35" s="65" t="n">
        <f aca="false">D30+D31-D32+D33-D34</f>
        <v>237.2</v>
      </c>
      <c r="E35" s="65" t="n">
        <f aca="false">E30+E31-E32+E33-E34</f>
        <v>190.93161639576</v>
      </c>
      <c r="F35" s="65" t="n">
        <f aca="false">F30+F31-F32+F33-F34</f>
        <v>180.306061309748</v>
      </c>
      <c r="G35" s="65" t="n">
        <f aca="false">G30+G31-G32+G33-G34</f>
        <v>201.383393195085</v>
      </c>
      <c r="H35" s="65" t="n">
        <f aca="false">H30+H31-H32+H33-H34</f>
        <v>205.482356260412</v>
      </c>
      <c r="I35" s="65" t="n">
        <f aca="false">I30+I31-I32+I33-I34</f>
        <v>209.401032261457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258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259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257</v>
      </c>
      <c r="C6" s="11" t="n">
        <f aca="false">'P&amp;L'!C35</f>
        <v>100.1</v>
      </c>
      <c r="D6" s="11" t="n">
        <f aca="false">'P&amp;L'!D35</f>
        <v>237.2</v>
      </c>
      <c r="E6" s="11" t="n">
        <f aca="false">'P&amp;L'!E35</f>
        <v>190.93161639576</v>
      </c>
      <c r="F6" s="11" t="n">
        <f aca="false">'P&amp;L'!F35</f>
        <v>180.306061309748</v>
      </c>
      <c r="G6" s="11" t="n">
        <f aca="false">'P&amp;L'!G35</f>
        <v>201.383393195085</v>
      </c>
      <c r="H6" s="11" t="n">
        <f aca="false">'P&amp;L'!H35</f>
        <v>205.482356260412</v>
      </c>
      <c r="I6" s="11" t="n">
        <f aca="false">'P&amp;L'!I35</f>
        <v>209.401032261457</v>
      </c>
    </row>
    <row r="7" customFormat="false" ht="15" hidden="false" customHeight="false" outlineLevel="0" collapsed="false">
      <c r="B7" s="18" t="s">
        <v>33</v>
      </c>
      <c r="C7" s="11" t="n">
        <f aca="false">'P&amp;L'!C12</f>
        <v>109.1</v>
      </c>
      <c r="D7" s="11" t="n">
        <f aca="false">'P&amp;L'!D12</f>
        <v>110.4</v>
      </c>
      <c r="E7" s="11" t="n">
        <f aca="false">'P&amp;L'!E12</f>
        <v>114.376978586572</v>
      </c>
      <c r="F7" s="11" t="n">
        <f aca="false">'P&amp;L'!F12</f>
        <v>116.249784996939</v>
      </c>
      <c r="G7" s="11" t="n">
        <f aca="false">'P&amp;L'!G12</f>
        <v>119.585328751135</v>
      </c>
      <c r="H7" s="11" t="n">
        <f aca="false">'P&amp;L'!H12</f>
        <v>123.315893647203</v>
      </c>
      <c r="I7" s="11" t="n">
        <f aca="false">'P&amp;L'!I12</f>
        <v>126.958576761975</v>
      </c>
    </row>
    <row r="8" customFormat="false" ht="15" hidden="false" customHeight="false" outlineLevel="0" collapsed="false">
      <c r="B8" s="18" t="s">
        <v>260</v>
      </c>
      <c r="C8" s="11" t="n">
        <f aca="false">'P&amp;L'!C18</f>
        <v>107.6</v>
      </c>
      <c r="D8" s="11" t="n">
        <f aca="false">'P&amp;L'!D18</f>
        <v>108.9</v>
      </c>
      <c r="E8" s="11" t="n">
        <f aca="false">'P&amp;L'!E18</f>
        <v>112.876978586572</v>
      </c>
      <c r="F8" s="11" t="n">
        <f aca="false">'P&amp;L'!F18</f>
        <v>114.749784996939</v>
      </c>
      <c r="G8" s="11" t="n">
        <f aca="false">'P&amp;L'!G18</f>
        <v>118.085328751135</v>
      </c>
      <c r="H8" s="11" t="n">
        <f aca="false">'P&amp;L'!H18</f>
        <v>121.815893647203</v>
      </c>
      <c r="I8" s="11" t="n">
        <f aca="false">'P&amp;L'!I18</f>
        <v>125.458576761975</v>
      </c>
    </row>
    <row r="9" customFormat="false" ht="15" hidden="false" customHeight="false" outlineLevel="0" collapsed="false">
      <c r="B9" s="18" t="s">
        <v>261</v>
      </c>
      <c r="C9" s="11" t="n">
        <f aca="false">Assumptions!C43</f>
        <v>158</v>
      </c>
      <c r="D9" s="11" t="n">
        <f aca="false">Assumptions!D43</f>
        <v>163.5</v>
      </c>
      <c r="E9" s="11" t="n">
        <f aca="false">Assumptions!E43</f>
        <v>166.1523925</v>
      </c>
      <c r="F9" s="11" t="n">
        <f aca="false">Assumptions!F43</f>
        <v>169.828917739305</v>
      </c>
      <c r="G9" s="11" t="n">
        <f aca="false">Assumptions!G43</f>
        <v>174.503968186833</v>
      </c>
      <c r="H9" s="11" t="n">
        <f aca="false">Assumptions!H43</f>
        <v>179.19986997074</v>
      </c>
      <c r="I9" s="11" t="n">
        <f aca="false">Assumptions!I43</f>
        <v>183.911392952011</v>
      </c>
    </row>
    <row r="10" customFormat="false" ht="15" hidden="false" customHeight="false" outlineLevel="0" collapsed="false">
      <c r="B10" s="18" t="s">
        <v>262</v>
      </c>
      <c r="C10" s="11" t="n">
        <f aca="false">'P&amp;L'!C31-'P&amp;L'!C32+'P&amp;L'!C33-'P&amp;L'!C34</f>
        <v>-9</v>
      </c>
      <c r="D10" s="11" t="n">
        <f aca="false">'P&amp;L'!D31-'P&amp;L'!D32+'P&amp;L'!D33-'P&amp;L'!D34</f>
        <v>126.8</v>
      </c>
      <c r="E10" s="11" t="n">
        <f aca="false">'P&amp;L'!E31-'P&amp;L'!E32+'P&amp;L'!E33-'P&amp;L'!E34</f>
        <v>76.5546378091876</v>
      </c>
      <c r="F10" s="11" t="n">
        <f aca="false">'P&amp;L'!F31-'P&amp;L'!F32+'P&amp;L'!F33-'P&amp;L'!F34</f>
        <v>64.0562763128092</v>
      </c>
      <c r="G10" s="11" t="n">
        <f aca="false">'P&amp;L'!G31-'P&amp;L'!G32+'P&amp;L'!G33-'P&amp;L'!G34</f>
        <v>81.7980644439501</v>
      </c>
      <c r="H10" s="11" t="n">
        <f aca="false">'P&amp;L'!H31-'P&amp;L'!H32+'P&amp;L'!H33-'P&amp;L'!H34</f>
        <v>82.1664626132094</v>
      </c>
      <c r="I10" s="11" t="n">
        <f aca="false">'P&amp;L'!I31-'P&amp;L'!I32+'P&amp;L'!I33-'P&amp;L'!I34</f>
        <v>82.4424554994823</v>
      </c>
    </row>
    <row r="12" customFormat="false" ht="15" hidden="false" customHeight="false" outlineLevel="0" collapsed="false">
      <c r="B12" s="22" t="s">
        <v>263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264</v>
      </c>
      <c r="C13" s="49" t="n">
        <f aca="false">C8/C7</f>
        <v>0.986251145737855</v>
      </c>
      <c r="D13" s="49" t="n">
        <f aca="false">D8/D7</f>
        <v>0.986413043478261</v>
      </c>
      <c r="E13" s="49" t="n">
        <f aca="false">E8/E7</f>
        <v>0.986885472771388</v>
      </c>
      <c r="F13" s="49" t="n">
        <f aca="false">F8/F7</f>
        <v>0.987096750329134</v>
      </c>
      <c r="G13" s="49" t="n">
        <f aca="false">G8/G7</f>
        <v>0.987456655296557</v>
      </c>
      <c r="H13" s="49" t="n">
        <f aca="false">H8/H7</f>
        <v>0.987836117830104</v>
      </c>
      <c r="I13" s="49" t="n">
        <f aca="false">I8/I7</f>
        <v>0.988185122752185</v>
      </c>
    </row>
    <row r="14" customFormat="false" ht="15" hidden="false" customHeight="false" outlineLevel="0" collapsed="false">
      <c r="B14" s="18" t="s">
        <v>249</v>
      </c>
      <c r="C14" s="13" t="n">
        <f aca="false">'P&amp;L'!C25</f>
        <v>1.00148854262145</v>
      </c>
      <c r="D14" s="13" t="n">
        <f aca="false">'P&amp;L'!D25</f>
        <v>0.999304347826087</v>
      </c>
      <c r="E14" s="13" t="n">
        <f aca="false">'P&amp;L'!E25</f>
        <v>1</v>
      </c>
      <c r="F14" s="13" t="n">
        <f aca="false">'P&amp;L'!F25</f>
        <v>1</v>
      </c>
      <c r="G14" s="13" t="n">
        <f aca="false">'P&amp;L'!G25</f>
        <v>1</v>
      </c>
      <c r="H14" s="13" t="n">
        <f aca="false">'P&amp;L'!H25</f>
        <v>1</v>
      </c>
      <c r="I14" s="13" t="n">
        <f aca="false">'P&amp;L'!I25</f>
        <v>1</v>
      </c>
    </row>
    <row r="15" customFormat="false" ht="15" hidden="false" customHeight="false" outlineLevel="0" collapsed="false">
      <c r="B15" s="18" t="s">
        <v>250</v>
      </c>
      <c r="C15" s="13" t="n">
        <f aca="false">'P&amp;L'!C26</f>
        <v>1.01544981412639</v>
      </c>
      <c r="D15" s="13" t="n">
        <f aca="false">'P&amp;L'!D26</f>
        <v>1.01306887052342</v>
      </c>
      <c r="E15" s="13" t="n">
        <f aca="false">'P&amp;L'!E26</f>
        <v>1.01328880360533</v>
      </c>
      <c r="F15" s="13" t="n">
        <f aca="false">'P&amp;L'!F26</f>
        <v>1.01307191991724</v>
      </c>
      <c r="G15" s="13" t="n">
        <f aca="false">'P&amp;L'!G26</f>
        <v>1.01270267878206</v>
      </c>
      <c r="H15" s="13" t="n">
        <f aca="false">'P&amp;L'!H26</f>
        <v>1.01231366412945</v>
      </c>
      <c r="I15" s="13" t="n">
        <f aca="false">'P&amp;L'!I26</f>
        <v>1.01195613754527</v>
      </c>
    </row>
    <row r="16" customFormat="false" ht="15" hidden="false" customHeight="false" outlineLevel="0" collapsed="false">
      <c r="B16" s="18" t="s">
        <v>265</v>
      </c>
      <c r="C16" s="75" t="n">
        <f aca="false">C8/'P&amp;L'!C27</f>
        <v>0.984785250918889</v>
      </c>
      <c r="D16" s="75" t="n">
        <f aca="false">D8/'P&amp;L'!D27</f>
        <v>0.987099721545423</v>
      </c>
      <c r="E16" s="75" t="n">
        <f aca="false">E8/'P&amp;L'!E27</f>
        <v>0.986885472771388</v>
      </c>
      <c r="F16" s="75" t="n">
        <f aca="false">F8/'P&amp;L'!F27</f>
        <v>0.987096750329134</v>
      </c>
      <c r="G16" s="75" t="n">
        <f aca="false">G8/'P&amp;L'!G27</f>
        <v>0.987456655296557</v>
      </c>
      <c r="H16" s="75" t="n">
        <f aca="false">H8/'P&amp;L'!H27</f>
        <v>0.987836117830104</v>
      </c>
      <c r="I16" s="75" t="n">
        <f aca="false">I8/'P&amp;L'!I27</f>
        <v>0.988185122752185</v>
      </c>
    </row>
    <row r="17" customFormat="false" ht="15" hidden="false" customHeight="false" outlineLevel="0" collapsed="false">
      <c r="B17" s="18" t="s">
        <v>266</v>
      </c>
      <c r="C17" s="45" t="n">
        <f aca="false">C7-'P&amp;L'!C27</f>
        <v>-0.162400000000005</v>
      </c>
      <c r="D17" s="45" t="n">
        <f aca="false">D7-'P&amp;L'!D27</f>
        <v>0.0768000000000058</v>
      </c>
      <c r="E17" s="45" t="n">
        <f aca="false">E7-'P&amp;L'!E27</f>
        <v>0</v>
      </c>
      <c r="F17" s="45" t="n">
        <f aca="false">F7-'P&amp;L'!F27</f>
        <v>0</v>
      </c>
      <c r="G17" s="45" t="n">
        <f aca="false">G7-'P&amp;L'!G27</f>
        <v>0</v>
      </c>
      <c r="H17" s="45" t="n">
        <f aca="false">H7-'P&amp;L'!H27</f>
        <v>0</v>
      </c>
      <c r="I17" s="45" t="n">
        <f aca="false">I7-'P&amp;L'!I27</f>
        <v>0</v>
      </c>
    </row>
    <row r="18" customFormat="false" ht="15" hidden="false" customHeight="false" outlineLevel="0" collapsed="false">
      <c r="B18" s="18" t="s">
        <v>141</v>
      </c>
      <c r="C18" s="76" t="n">
        <f aca="false">Assumptions!C36</f>
        <v>0.4</v>
      </c>
      <c r="D18" s="76" t="n">
        <f aca="false">Assumptions!D36</f>
        <v>0.4</v>
      </c>
      <c r="E18" s="76" t="n">
        <f aca="false">Assumptions!E36</f>
        <v>0.4</v>
      </c>
      <c r="F18" s="76" t="n">
        <f aca="false">Assumptions!F36</f>
        <v>0.4</v>
      </c>
      <c r="G18" s="76" t="n">
        <f aca="false">Assumptions!G36</f>
        <v>0.4</v>
      </c>
      <c r="H18" s="76" t="n">
        <f aca="false">Assumptions!H36</f>
        <v>0.4</v>
      </c>
      <c r="I18" s="76" t="n">
        <f aca="false">Assumptions!I36</f>
        <v>0.4</v>
      </c>
    </row>
    <row r="19" customFormat="false" ht="15" hidden="false" customHeight="false" outlineLevel="0" collapsed="false">
      <c r="B19" s="18" t="s">
        <v>130</v>
      </c>
      <c r="C19" s="13" t="n">
        <f aca="false">Assumptions!C24</f>
        <v>0</v>
      </c>
      <c r="D19" s="13" t="n">
        <f aca="false">Assumptions!D24</f>
        <v>0</v>
      </c>
      <c r="E19" s="13" t="n">
        <f aca="false">Assumptions!E24</f>
        <v>0.0284550000000001</v>
      </c>
      <c r="F19" s="13" t="n">
        <f aca="false">Assumptions!F24</f>
        <v>0.028146</v>
      </c>
      <c r="G19" s="13" t="n">
        <f aca="false">Assumptions!G24</f>
        <v>0.027528</v>
      </c>
      <c r="H19" s="13" t="n">
        <f aca="false">Assumptions!H24</f>
        <v>0.02691</v>
      </c>
      <c r="I19" s="13" t="n">
        <f aca="false">Assumptions!I24</f>
        <v>0.026292</v>
      </c>
    </row>
    <row r="20" customFormat="false" ht="15" hidden="false" customHeight="false" outlineLevel="0" collapsed="false">
      <c r="B20" s="18" t="s">
        <v>267</v>
      </c>
      <c r="C20" s="75" t="n">
        <f aca="false">('P&amp;L'!C12-Assumptions!C32)/'P&amp;L'!C27</f>
        <v>0.993937530202522</v>
      </c>
      <c r="D20" s="75" t="n">
        <f aca="false">('P&amp;L'!D12-Assumptions!D32)/'P&amp;L'!D27</f>
        <v>0.996163998143636</v>
      </c>
      <c r="E20" s="75" t="n">
        <f aca="false">('P&amp;L'!E12-Assumptions!E32)/'P&amp;L'!E27</f>
        <v>0.995628490923796</v>
      </c>
      <c r="F20" s="75" t="n">
        <f aca="false">('P&amp;L'!F12-Assumptions!F32)/'P&amp;L'!F27</f>
        <v>0.995698916776378</v>
      </c>
      <c r="G20" s="75" t="n">
        <f aca="false">('P&amp;L'!G12-Assumptions!G32)/'P&amp;L'!G27</f>
        <v>0.995818885098852</v>
      </c>
      <c r="H20" s="75" t="n">
        <f aca="false">('P&amp;L'!H12-Assumptions!H32)/'P&amp;L'!H27</f>
        <v>0.995945372610035</v>
      </c>
      <c r="I20" s="75" t="n">
        <f aca="false">('P&amp;L'!I12-Assumptions!I32)/'P&amp;L'!I27</f>
        <v>0.996061707584062</v>
      </c>
    </row>
    <row r="21" customFormat="false" ht="15" hidden="false" customHeight="false" outlineLevel="0" collapsed="false">
      <c r="B21" s="22" t="s">
        <v>268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B22" s="18" t="s">
        <v>269</v>
      </c>
      <c r="C22" s="54" t="n">
        <f aca="false">IF(C16&gt;=1,20,IF(C16&gt;=0.9,12,IF(C16&gt;=0.8,6,0)))</f>
        <v>12</v>
      </c>
      <c r="D22" s="54" t="n">
        <f aca="false">IF(D16&gt;=1,20,IF(D16&gt;=0.9,12,IF(D16&gt;=0.8,6,0)))</f>
        <v>12</v>
      </c>
      <c r="E22" s="54" t="n">
        <f aca="false">IF(E16&gt;=1,20,IF(E16&gt;=0.9,12,IF(E16&gt;=0.8,6,0)))</f>
        <v>12</v>
      </c>
      <c r="F22" s="54" t="n">
        <f aca="false">IF(F16&gt;=1,20,IF(F16&gt;=0.9,12,IF(F16&gt;=0.8,6,0)))</f>
        <v>12</v>
      </c>
      <c r="G22" s="54" t="n">
        <f aca="false">IF(G16&gt;=1,20,IF(G16&gt;=0.9,12,IF(G16&gt;=0.8,6,0)))</f>
        <v>12</v>
      </c>
      <c r="H22" s="54" t="n">
        <f aca="false">IF(H16&gt;=1,20,IF(H16&gt;=0.9,12,IF(H16&gt;=0.8,6,0)))</f>
        <v>12</v>
      </c>
      <c r="I22" s="54" t="n">
        <f aca="false">IF(I16&gt;=1,20,IF(I16&gt;=0.9,12,IF(I16&gt;=0.8,6,0)))</f>
        <v>12</v>
      </c>
    </row>
    <row r="23" customFormat="false" ht="15" hidden="false" customHeight="false" outlineLevel="0" collapsed="false">
      <c r="B23" s="18" t="s">
        <v>270</v>
      </c>
      <c r="C23" s="54" t="n">
        <f aca="false">IF(C14&lt;=1,20,IF(C14&lt;=1.1,12,IF(C14&lt;=1.25,6,0)))</f>
        <v>12</v>
      </c>
      <c r="D23" s="54" t="n">
        <f aca="false">IF(D14&lt;=1,20,IF(D14&lt;=1.1,12,IF(D14&lt;=1.25,6,0)))</f>
        <v>20</v>
      </c>
      <c r="E23" s="54" t="n">
        <f aca="false">IF(E14&lt;=1,20,IF(E14&lt;=1.1,12,IF(E14&lt;=1.25,6,0)))</f>
        <v>20</v>
      </c>
      <c r="F23" s="54" t="n">
        <f aca="false">IF(F14&lt;=1,20,IF(F14&lt;=1.1,12,IF(F14&lt;=1.25,6,0)))</f>
        <v>20</v>
      </c>
      <c r="G23" s="54" t="n">
        <f aca="false">IF(G14&lt;=1,20,IF(G14&lt;=1.1,12,IF(G14&lt;=1.25,6,0)))</f>
        <v>20</v>
      </c>
      <c r="H23" s="54" t="n">
        <f aca="false">IF(H14&lt;=1,20,IF(H14&lt;=1.1,12,IF(H14&lt;=1.25,6,0)))</f>
        <v>20</v>
      </c>
      <c r="I23" s="54" t="n">
        <f aca="false">IF(I14&lt;=1,20,IF(I14&lt;=1.1,12,IF(I14&lt;=1.25,6,0)))</f>
        <v>20</v>
      </c>
    </row>
    <row r="24" customFormat="false" ht="15" hidden="false" customHeight="false" outlineLevel="0" collapsed="false">
      <c r="B24" s="18" t="s">
        <v>271</v>
      </c>
      <c r="C24" s="54" t="n">
        <f aca="false">IF(C19&gt;=0.03,20,IF(C19&gt;=0.02,14,IF(C19&gt;0,8,0)))</f>
        <v>0</v>
      </c>
      <c r="D24" s="54" t="n">
        <f aca="false">IF(D19&gt;=0.03,20,IF(D19&gt;=0.02,14,IF(D19&gt;0,8,0)))</f>
        <v>0</v>
      </c>
      <c r="E24" s="54" t="n">
        <f aca="false">IF(E19&gt;=0.03,20,IF(E19&gt;=0.02,14,IF(E19&gt;0,8,0)))</f>
        <v>14</v>
      </c>
      <c r="F24" s="54" t="n">
        <f aca="false">IF(F19&gt;=0.03,20,IF(F19&gt;=0.02,14,IF(F19&gt;0,8,0)))</f>
        <v>14</v>
      </c>
      <c r="G24" s="54" t="n">
        <f aca="false">IF(G19&gt;=0.03,20,IF(G19&gt;=0.02,14,IF(G19&gt;0,8,0)))</f>
        <v>14</v>
      </c>
      <c r="H24" s="54" t="n">
        <f aca="false">IF(H19&gt;=0.03,20,IF(H19&gt;=0.02,14,IF(H19&gt;0,8,0)))</f>
        <v>14</v>
      </c>
      <c r="I24" s="54" t="n">
        <f aca="false">IF(I19&gt;=0.03,20,IF(I19&gt;=0.02,14,IF(I19&gt;0,8,0)))</f>
        <v>14</v>
      </c>
    </row>
    <row r="25" customFormat="false" ht="15" hidden="false" customHeight="false" outlineLevel="0" collapsed="false">
      <c r="B25" s="18" t="s">
        <v>272</v>
      </c>
      <c r="C25" s="54" t="n">
        <f aca="false">IF(Debt!C27&lt;=0.35,20,IF(Debt!C27&lt;=0.4,12,IF(Debt!C27&lt;=0.45,5,0)))</f>
        <v>20</v>
      </c>
      <c r="D25" s="54" t="n">
        <f aca="false">IF(Debt!D27&lt;=0.35,20,IF(Debt!D27&lt;=0.4,12,IF(Debt!D27&lt;=0.45,5,0)))</f>
        <v>20</v>
      </c>
      <c r="E25" s="54" t="n">
        <f aca="false">IF(Debt!E27&lt;=0.35,20,IF(Debt!E27&lt;=0.4,12,IF(Debt!E27&lt;=0.45,5,0)))</f>
        <v>20</v>
      </c>
      <c r="F25" s="54" t="n">
        <f aca="false">IF(Debt!F27&lt;=0.35,20,IF(Debt!F27&lt;=0.4,12,IF(Debt!F27&lt;=0.45,5,0)))</f>
        <v>20</v>
      </c>
      <c r="G25" s="54" t="n">
        <f aca="false">IF(Debt!G27&lt;=0.35,20,IF(Debt!G27&lt;=0.4,12,IF(Debt!G27&lt;=0.45,5,0)))</f>
        <v>20</v>
      </c>
      <c r="H25" s="54" t="n">
        <f aca="false">IF(Debt!H27&lt;=0.35,20,IF(Debt!H27&lt;=0.4,12,IF(Debt!H27&lt;=0.45,5,0)))</f>
        <v>20</v>
      </c>
      <c r="I25" s="54" t="n">
        <f aca="false">IF(Debt!I27&lt;=0.35,20,IF(Debt!I27&lt;=0.4,12,IF(Debt!I27&lt;=0.45,5,0)))</f>
        <v>20</v>
      </c>
    </row>
    <row r="26" customFormat="false" ht="15" hidden="false" customHeight="false" outlineLevel="0" collapsed="false">
      <c r="B26" s="18" t="s">
        <v>273</v>
      </c>
      <c r="C26" s="54" t="n">
        <f aca="false">IF(ABS(C10)&lt;=2,20,IF(ABS(C10)&lt;=8,12,6))</f>
        <v>6</v>
      </c>
      <c r="D26" s="54" t="n">
        <f aca="false">IF(ABS(D10)&lt;=2,20,IF(ABS(D10)&lt;=8,12,6))</f>
        <v>6</v>
      </c>
      <c r="E26" s="54" t="n">
        <f aca="false">IF(ABS(E10)&lt;=2,20,IF(ABS(E10)&lt;=8,12,6))</f>
        <v>6</v>
      </c>
      <c r="F26" s="54" t="n">
        <f aca="false">IF(ABS(F10)&lt;=2,20,IF(ABS(F10)&lt;=8,12,6))</f>
        <v>6</v>
      </c>
      <c r="G26" s="54" t="n">
        <f aca="false">IF(ABS(G10)&lt;=2,20,IF(ABS(G10)&lt;=8,12,6))</f>
        <v>6</v>
      </c>
      <c r="H26" s="54" t="n">
        <f aca="false">IF(ABS(H10)&lt;=2,20,IF(ABS(H10)&lt;=8,12,6))</f>
        <v>6</v>
      </c>
      <c r="I26" s="54" t="n">
        <f aca="false">IF(ABS(I10)&lt;=2,20,IF(ABS(I10)&lt;=8,12,6))</f>
        <v>6</v>
      </c>
    </row>
    <row r="28" customFormat="false" ht="15" hidden="false" customHeight="false" outlineLevel="0" collapsed="false">
      <c r="B28" s="10" t="s">
        <v>274</v>
      </c>
      <c r="C28" s="77" t="n">
        <f aca="false">SUM(C22:C26)</f>
        <v>50</v>
      </c>
      <c r="D28" s="77" t="n">
        <f aca="false">SUM(D22:D26)</f>
        <v>58</v>
      </c>
      <c r="E28" s="77" t="n">
        <f aca="false">SUM(E22:E26)</f>
        <v>72</v>
      </c>
      <c r="F28" s="77" t="n">
        <f aca="false">SUM(F22:F26)</f>
        <v>72</v>
      </c>
      <c r="G28" s="77" t="n">
        <f aca="false">SUM(G22:G26)</f>
        <v>72</v>
      </c>
      <c r="H28" s="77" t="n">
        <f aca="false">SUM(H22:H26)</f>
        <v>72</v>
      </c>
      <c r="I28" s="77" t="n">
        <f aca="false">SUM(I22:I26)</f>
        <v>72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275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276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277</v>
      </c>
      <c r="C6" s="11" t="n">
        <f aca="false">'P&amp;L'!C18</f>
        <v>107.6</v>
      </c>
      <c r="D6" s="11" t="n">
        <f aca="false">'P&amp;L'!D18</f>
        <v>108.9</v>
      </c>
      <c r="E6" s="11" t="n">
        <f aca="false">'P&amp;L'!E18</f>
        <v>112.876978586572</v>
      </c>
      <c r="F6" s="11" t="n">
        <f aca="false">'P&amp;L'!F18</f>
        <v>114.749784996939</v>
      </c>
      <c r="G6" s="11" t="n">
        <f aca="false">'P&amp;L'!G18</f>
        <v>118.085328751135</v>
      </c>
      <c r="H6" s="11" t="n">
        <f aca="false">'P&amp;L'!H18</f>
        <v>121.815893647203</v>
      </c>
      <c r="I6" s="11" t="n">
        <f aca="false">'P&amp;L'!I18</f>
        <v>125.458576761975</v>
      </c>
    </row>
    <row r="7" customFormat="false" ht="15" hidden="false" customHeight="false" outlineLevel="0" collapsed="false">
      <c r="B7" s="18" t="s">
        <v>278</v>
      </c>
      <c r="C7" s="11" t="n">
        <f aca="false">'P&amp;L'!C27</f>
        <v>109.2624</v>
      </c>
      <c r="D7" s="11" t="n">
        <f aca="false">'P&amp;L'!D27</f>
        <v>110.3232</v>
      </c>
      <c r="E7" s="11" t="n">
        <f aca="false">'P&amp;L'!E27</f>
        <v>114.376978586572</v>
      </c>
      <c r="F7" s="11" t="n">
        <f aca="false">'P&amp;L'!F27</f>
        <v>116.249784996939</v>
      </c>
      <c r="G7" s="11" t="n">
        <f aca="false">'P&amp;L'!G27</f>
        <v>119.585328751135</v>
      </c>
      <c r="H7" s="11" t="n">
        <f aca="false">'P&amp;L'!H27</f>
        <v>123.315893647203</v>
      </c>
      <c r="I7" s="11" t="n">
        <f aca="false">'P&amp;L'!I27</f>
        <v>126.958576761975</v>
      </c>
    </row>
    <row r="8" customFormat="false" ht="15" hidden="false" customHeight="false" outlineLevel="0" collapsed="false">
      <c r="B8" s="18" t="s">
        <v>279</v>
      </c>
      <c r="C8" s="11" t="n">
        <f aca="false">Assumptions!C37</f>
        <v>0</v>
      </c>
      <c r="D8" s="11" t="n">
        <f aca="false">Assumptions!D37</f>
        <v>20</v>
      </c>
      <c r="E8" s="11" t="n">
        <f aca="false">Assumptions!E37</f>
        <v>8</v>
      </c>
      <c r="F8" s="11" t="n">
        <f aca="false">Assumptions!F37</f>
        <v>0</v>
      </c>
      <c r="G8" s="11" t="n">
        <f aca="false">Assumptions!G37</f>
        <v>0</v>
      </c>
      <c r="H8" s="11" t="n">
        <f aca="false">Assumptions!H37</f>
        <v>0</v>
      </c>
      <c r="I8" s="11" t="n">
        <f aca="false">Assumptions!I37</f>
        <v>0</v>
      </c>
    </row>
    <row r="9" customFormat="false" ht="15" hidden="false" customHeight="false" outlineLevel="0" collapsed="false">
      <c r="B9" s="18" t="s">
        <v>280</v>
      </c>
      <c r="C9" s="11" t="n">
        <f aca="false">Debt!C9</f>
        <v>0</v>
      </c>
      <c r="D9" s="11" t="n">
        <f aca="false">Debt!D9</f>
        <v>0</v>
      </c>
      <c r="E9" s="11" t="n">
        <f aca="false">Debt!E9</f>
        <v>0</v>
      </c>
      <c r="F9" s="11" t="n">
        <f aca="false">Debt!F9</f>
        <v>0</v>
      </c>
      <c r="G9" s="11" t="n">
        <f aca="false">Debt!G9</f>
        <v>0</v>
      </c>
      <c r="H9" s="11" t="n">
        <f aca="false">Debt!H9</f>
        <v>0</v>
      </c>
      <c r="I9" s="11" t="n">
        <f aca="false">Debt!I9</f>
        <v>0</v>
      </c>
    </row>
    <row r="10" customFormat="false" ht="15" hidden="false" customHeight="false" outlineLevel="0" collapsed="false">
      <c r="B10" s="10" t="s">
        <v>281</v>
      </c>
      <c r="C10" s="65" t="n">
        <f aca="false">C6-C7-C8-C9</f>
        <v>-1.66240000000001</v>
      </c>
      <c r="D10" s="65" t="n">
        <f aca="false">D6-D7-D8-D9</f>
        <v>-21.4232</v>
      </c>
      <c r="E10" s="65" t="n">
        <f aca="false">E6-E7-E8-E9</f>
        <v>-9.49999999999999</v>
      </c>
      <c r="F10" s="65" t="n">
        <f aca="false">F6-F7-F8-F9</f>
        <v>-1.50000000000003</v>
      </c>
      <c r="G10" s="65" t="n">
        <f aca="false">G6-G7-G8-G9</f>
        <v>-1.50000000000003</v>
      </c>
      <c r="H10" s="65" t="n">
        <f aca="false">H6-H7-H8-H9</f>
        <v>-1.5</v>
      </c>
      <c r="I10" s="65" t="n">
        <f aca="false">I6-I7-I8-I9</f>
        <v>-1.49999999999999</v>
      </c>
    </row>
    <row r="11" customFormat="false" ht="15" hidden="false" customHeight="false" outlineLevel="0" collapsed="false">
      <c r="B11" s="18" t="s">
        <v>282</v>
      </c>
      <c r="C11" s="44" t="n">
        <v>5</v>
      </c>
      <c r="D11" s="45" t="n">
        <f aca="false">C13</f>
        <v>3.3376</v>
      </c>
      <c r="E11" s="45" t="n">
        <f aca="false">D13</f>
        <v>3</v>
      </c>
      <c r="F11" s="45" t="n">
        <f aca="false">E13</f>
        <v>3</v>
      </c>
      <c r="G11" s="45" t="n">
        <f aca="false">F13</f>
        <v>3</v>
      </c>
      <c r="H11" s="45" t="n">
        <f aca="false">G13</f>
        <v>3</v>
      </c>
      <c r="I11" s="45" t="n">
        <f aca="false">H13</f>
        <v>3</v>
      </c>
    </row>
    <row r="12" customFormat="false" ht="15" hidden="false" customHeight="false" outlineLevel="0" collapsed="false">
      <c r="B12" s="18" t="s">
        <v>283</v>
      </c>
      <c r="C12" s="45" t="n">
        <f aca="false">MAX(0,3-(C11+C10))</f>
        <v>0</v>
      </c>
      <c r="D12" s="45" t="n">
        <f aca="false">MAX(0,3-(D11+D10))</f>
        <v>21.0856</v>
      </c>
      <c r="E12" s="45" t="n">
        <f aca="false">MAX(0,3-(E11+E10))</f>
        <v>9.49999999999999</v>
      </c>
      <c r="F12" s="45" t="n">
        <f aca="false">MAX(0,3-(F11+F10))</f>
        <v>1.50000000000003</v>
      </c>
      <c r="G12" s="45" t="n">
        <f aca="false">MAX(0,3-(G11+G10))</f>
        <v>1.50000000000003</v>
      </c>
      <c r="H12" s="45" t="n">
        <f aca="false">MAX(0,3-(H11+H10))</f>
        <v>1.5</v>
      </c>
      <c r="I12" s="45" t="n">
        <f aca="false">MAX(0,3-(I11+I10))</f>
        <v>1.49999999999999</v>
      </c>
    </row>
    <row r="13" customFormat="false" ht="15" hidden="false" customHeight="false" outlineLevel="0" collapsed="false">
      <c r="B13" s="10" t="s">
        <v>284</v>
      </c>
      <c r="C13" s="65" t="n">
        <f aca="false">C11+C10+C12</f>
        <v>3.3376</v>
      </c>
      <c r="D13" s="65" t="n">
        <f aca="false">D11+D10+D12</f>
        <v>3</v>
      </c>
      <c r="E13" s="65" t="n">
        <f aca="false">E11+E10+E12</f>
        <v>3</v>
      </c>
      <c r="F13" s="65" t="n">
        <f aca="false">F11+F10+F12</f>
        <v>3</v>
      </c>
      <c r="G13" s="65" t="n">
        <f aca="false">G11+G10+G12</f>
        <v>3</v>
      </c>
      <c r="H13" s="65" t="n">
        <f aca="false">H11+H10+H12</f>
        <v>3</v>
      </c>
      <c r="I13" s="65" t="n">
        <f aca="false">I11+I10+I12</f>
        <v>3</v>
      </c>
    </row>
    <row r="15" customFormat="false" ht="15" hidden="false" customHeight="false" outlineLevel="0" collapsed="false">
      <c r="B15" s="22" t="s">
        <v>285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286</v>
      </c>
      <c r="C16" s="45" t="n">
        <f aca="false">'P&amp;L'!C12-Assumptions!C32</f>
        <v>108.6</v>
      </c>
      <c r="D16" s="45" t="n">
        <f aca="false">'P&amp;L'!D12-Assumptions!D32</f>
        <v>109.9</v>
      </c>
      <c r="E16" s="45" t="n">
        <f aca="false">'P&amp;L'!E12-Assumptions!E32</f>
        <v>113.876978586572</v>
      </c>
      <c r="F16" s="45" t="n">
        <f aca="false">'P&amp;L'!F12-Assumptions!F32</f>
        <v>115.749784996939</v>
      </c>
      <c r="G16" s="45" t="n">
        <f aca="false">'P&amp;L'!G12-Assumptions!G32</f>
        <v>119.085328751135</v>
      </c>
      <c r="H16" s="45" t="n">
        <f aca="false">'P&amp;L'!H12-Assumptions!H32</f>
        <v>122.815893647203</v>
      </c>
      <c r="I16" s="45" t="n">
        <f aca="false">'P&amp;L'!I12-Assumptions!I32</f>
        <v>126.458576761975</v>
      </c>
    </row>
    <row r="17" customFormat="false" ht="15" hidden="false" customHeight="false" outlineLevel="0" collapsed="false">
      <c r="B17" s="18" t="s">
        <v>287</v>
      </c>
      <c r="C17" s="11" t="n">
        <f aca="false">'P&amp;L'!C18</f>
        <v>107.6</v>
      </c>
      <c r="D17" s="11" t="n">
        <f aca="false">'P&amp;L'!D18</f>
        <v>108.9</v>
      </c>
      <c r="E17" s="11" t="n">
        <f aca="false">'P&amp;L'!E18</f>
        <v>112.876978586572</v>
      </c>
      <c r="F17" s="11" t="n">
        <f aca="false">'P&amp;L'!F18</f>
        <v>114.749784996939</v>
      </c>
      <c r="G17" s="11" t="n">
        <f aca="false">'P&amp;L'!G18</f>
        <v>118.085328751135</v>
      </c>
      <c r="H17" s="11" t="n">
        <f aca="false">'P&amp;L'!H18</f>
        <v>121.815893647203</v>
      </c>
      <c r="I17" s="11" t="n">
        <f aca="false">'P&amp;L'!I18</f>
        <v>125.458576761975</v>
      </c>
    </row>
    <row r="18" customFormat="false" ht="15" hidden="false" customHeight="false" outlineLevel="0" collapsed="false">
      <c r="B18" s="18" t="s">
        <v>251</v>
      </c>
      <c r="C18" s="11" t="n">
        <f aca="false">'P&amp;L'!C27</f>
        <v>109.2624</v>
      </c>
      <c r="D18" s="11" t="n">
        <f aca="false">'P&amp;L'!D27</f>
        <v>110.3232</v>
      </c>
      <c r="E18" s="11" t="n">
        <f aca="false">'P&amp;L'!E27</f>
        <v>114.376978586572</v>
      </c>
      <c r="F18" s="11" t="n">
        <f aca="false">'P&amp;L'!F27</f>
        <v>116.249784996939</v>
      </c>
      <c r="G18" s="11" t="n">
        <f aca="false">'P&amp;L'!G27</f>
        <v>119.585328751135</v>
      </c>
      <c r="H18" s="11" t="n">
        <f aca="false">'P&amp;L'!H27</f>
        <v>123.315893647203</v>
      </c>
      <c r="I18" s="11" t="n">
        <f aca="false">'P&amp;L'!I27</f>
        <v>126.958576761975</v>
      </c>
    </row>
    <row r="19" customFormat="false" ht="15" hidden="false" customHeight="false" outlineLevel="0" collapsed="false">
      <c r="B19" s="10" t="s">
        <v>288</v>
      </c>
      <c r="C19" s="71" t="n">
        <f aca="false">C16/C18</f>
        <v>0.993937530202522</v>
      </c>
      <c r="D19" s="71" t="n">
        <f aca="false">D16/D18</f>
        <v>0.996163998143636</v>
      </c>
      <c r="E19" s="71" t="n">
        <f aca="false">E16/E18</f>
        <v>0.995628490923796</v>
      </c>
      <c r="F19" s="71" t="n">
        <f aca="false">F16/F18</f>
        <v>0.995698916776378</v>
      </c>
      <c r="G19" s="71" t="n">
        <f aca="false">G16/G18</f>
        <v>0.995818885098852</v>
      </c>
      <c r="H19" s="71" t="n">
        <f aca="false">H16/H18</f>
        <v>0.995945372610035</v>
      </c>
      <c r="I19" s="71" t="n">
        <f aca="false">I16/I18</f>
        <v>0.996061707584062</v>
      </c>
    </row>
    <row r="20" customFormat="false" ht="15" hidden="false" customHeight="false" outlineLevel="0" collapsed="false">
      <c r="B20" s="10" t="s">
        <v>38</v>
      </c>
      <c r="C20" s="71" t="n">
        <f aca="false">C17/C18</f>
        <v>0.984785250918889</v>
      </c>
      <c r="D20" s="71" t="n">
        <f aca="false">D17/D18</f>
        <v>0.987099721545423</v>
      </c>
      <c r="E20" s="71" t="n">
        <f aca="false">E17/E18</f>
        <v>0.986885472771388</v>
      </c>
      <c r="F20" s="71" t="n">
        <f aca="false">F17/F18</f>
        <v>0.987096750329134</v>
      </c>
      <c r="G20" s="71" t="n">
        <f aca="false">G17/G18</f>
        <v>0.987456655296557</v>
      </c>
      <c r="H20" s="71" t="n">
        <f aca="false">H17/H18</f>
        <v>0.987836117830104</v>
      </c>
      <c r="I20" s="71" t="n">
        <f aca="false">I17/I18</f>
        <v>0.988185122752185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289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290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291</v>
      </c>
      <c r="C6" s="11" t="n">
        <f aca="false">Assumptions!C42</f>
        <v>2730</v>
      </c>
      <c r="D6" s="11" t="n">
        <f aca="false">Assumptions!D42</f>
        <v>2858</v>
      </c>
      <c r="E6" s="11" t="n">
        <f aca="false">Assumptions!E42</f>
        <v>2935.55463780919</v>
      </c>
      <c r="F6" s="11" t="n">
        <f aca="false">Assumptions!F42</f>
        <v>3000.510914122</v>
      </c>
      <c r="G6" s="11" t="n">
        <f aca="false">Assumptions!G42</f>
        <v>3083.10897856595</v>
      </c>
      <c r="H6" s="11" t="n">
        <f aca="false">Assumptions!H42</f>
        <v>3166.07544117916</v>
      </c>
      <c r="I6" s="11" t="n">
        <f aca="false">Assumptions!I42</f>
        <v>3249.31789667864</v>
      </c>
    </row>
    <row r="7" customFormat="false" ht="15" hidden="false" customHeight="false" outlineLevel="0" collapsed="false">
      <c r="B7" s="18" t="s">
        <v>292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</row>
    <row r="8" customFormat="false" ht="15" hidden="false" customHeight="false" outlineLevel="0" collapsed="false">
      <c r="B8" s="18" t="s">
        <v>293</v>
      </c>
      <c r="C8" s="44" t="n">
        <v>5</v>
      </c>
      <c r="D8" s="44" t="n">
        <v>5</v>
      </c>
      <c r="E8" s="11" t="n">
        <f aca="false">'Cash Flow'!E13</f>
        <v>3</v>
      </c>
      <c r="F8" s="11" t="n">
        <f aca="false">'Cash Flow'!F13</f>
        <v>3</v>
      </c>
      <c r="G8" s="11" t="n">
        <f aca="false">'Cash Flow'!G13</f>
        <v>3</v>
      </c>
      <c r="H8" s="11" t="n">
        <f aca="false">'Cash Flow'!H13</f>
        <v>3</v>
      </c>
      <c r="I8" s="11" t="n">
        <f aca="false">'Cash Flow'!I13</f>
        <v>3</v>
      </c>
    </row>
    <row r="9" customFormat="false" ht="15" hidden="false" customHeight="false" outlineLevel="0" collapsed="false">
      <c r="B9" s="18" t="s">
        <v>294</v>
      </c>
      <c r="C9" s="44" t="n">
        <v>5</v>
      </c>
      <c r="D9" s="44" t="n">
        <v>5</v>
      </c>
      <c r="E9" s="44" t="n">
        <v>5</v>
      </c>
      <c r="F9" s="44" t="n">
        <v>5</v>
      </c>
      <c r="G9" s="44" t="n">
        <v>5</v>
      </c>
      <c r="H9" s="44" t="n">
        <v>5</v>
      </c>
      <c r="I9" s="44" t="n">
        <v>5</v>
      </c>
    </row>
    <row r="10" customFormat="false" ht="15" hidden="false" customHeight="false" outlineLevel="0" collapsed="false">
      <c r="B10" s="10" t="s">
        <v>295</v>
      </c>
      <c r="C10" s="65" t="n">
        <f aca="false">SUM(C6:C9)</f>
        <v>2740</v>
      </c>
      <c r="D10" s="65" t="n">
        <f aca="false">SUM(D6:D9)</f>
        <v>2868</v>
      </c>
      <c r="E10" s="65" t="n">
        <f aca="false">SUM(E6:E9)</f>
        <v>2943.55463780919</v>
      </c>
      <c r="F10" s="65" t="n">
        <f aca="false">SUM(F6:F9)</f>
        <v>3008.510914122</v>
      </c>
      <c r="G10" s="65" t="n">
        <f aca="false">SUM(G6:G9)</f>
        <v>3091.10897856595</v>
      </c>
      <c r="H10" s="65" t="n">
        <f aca="false">SUM(H6:H9)</f>
        <v>3174.07544117916</v>
      </c>
      <c r="I10" s="65" t="n">
        <f aca="false">SUM(I6:I9)</f>
        <v>3257.31789667864</v>
      </c>
    </row>
    <row r="12" customFormat="false" ht="15" hidden="false" customHeight="false" outlineLevel="0" collapsed="false">
      <c r="B12" s="22" t="s">
        <v>296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297</v>
      </c>
      <c r="C13" s="11" t="n">
        <f aca="false">Debt!C12</f>
        <v>900</v>
      </c>
      <c r="D13" s="11" t="n">
        <f aca="false">Debt!D12</f>
        <v>935</v>
      </c>
      <c r="E13" s="11" t="n">
        <f aca="false">Debt!E12</f>
        <v>949.5</v>
      </c>
      <c r="F13" s="11" t="n">
        <f aca="false">Debt!F12</f>
        <v>956</v>
      </c>
      <c r="G13" s="11" t="n">
        <f aca="false">Debt!G12</f>
        <v>962.5</v>
      </c>
      <c r="H13" s="11" t="n">
        <f aca="false">Debt!H12</f>
        <v>969</v>
      </c>
      <c r="I13" s="11" t="n">
        <f aca="false">Debt!I12</f>
        <v>975.5</v>
      </c>
    </row>
    <row r="14" customFormat="false" ht="15" hidden="false" customHeight="false" outlineLevel="0" collapsed="false">
      <c r="B14" s="18" t="s">
        <v>298</v>
      </c>
      <c r="C14" s="44" t="n">
        <v>10</v>
      </c>
      <c r="D14" s="44" t="n">
        <v>10</v>
      </c>
      <c r="E14" s="44" t="n">
        <v>10</v>
      </c>
      <c r="F14" s="44" t="n">
        <v>10</v>
      </c>
      <c r="G14" s="44" t="n">
        <v>10</v>
      </c>
      <c r="H14" s="44" t="n">
        <v>10</v>
      </c>
      <c r="I14" s="44" t="n">
        <v>10</v>
      </c>
    </row>
    <row r="15" customFormat="false" ht="15" hidden="false" customHeight="false" outlineLevel="0" collapsed="false">
      <c r="B15" s="10" t="s">
        <v>299</v>
      </c>
      <c r="C15" s="65" t="n">
        <f aca="false">C13+C14</f>
        <v>910</v>
      </c>
      <c r="D15" s="65" t="n">
        <f aca="false">D13+D14</f>
        <v>945</v>
      </c>
      <c r="E15" s="65" t="n">
        <f aca="false">E13+E14</f>
        <v>959.5</v>
      </c>
      <c r="F15" s="65" t="n">
        <f aca="false">F13+F14</f>
        <v>966</v>
      </c>
      <c r="G15" s="65" t="n">
        <f aca="false">G13+G14</f>
        <v>972.5</v>
      </c>
      <c r="H15" s="65" t="n">
        <f aca="false">H13+H14</f>
        <v>979</v>
      </c>
      <c r="I15" s="65" t="n">
        <f aca="false">I13+I14</f>
        <v>985.5</v>
      </c>
    </row>
    <row r="17" customFormat="false" ht="15" hidden="false" customHeight="false" outlineLevel="0" collapsed="false">
      <c r="B17" s="22" t="s">
        <v>300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301</v>
      </c>
      <c r="C18" s="65" t="n">
        <f aca="false">C10-C15</f>
        <v>1830</v>
      </c>
      <c r="D18" s="65" t="n">
        <f aca="false">D10-D15</f>
        <v>1923</v>
      </c>
      <c r="E18" s="65" t="n">
        <f aca="false">E10-E15</f>
        <v>1984.05463780919</v>
      </c>
      <c r="F18" s="65" t="n">
        <f aca="false">F10-F15</f>
        <v>2042.510914122</v>
      </c>
      <c r="G18" s="65" t="n">
        <f aca="false">G10-G15</f>
        <v>2118.60897856595</v>
      </c>
      <c r="H18" s="65" t="n">
        <f aca="false">H10-H15</f>
        <v>2195.07544117916</v>
      </c>
      <c r="I18" s="65" t="n">
        <f aca="false">I10-I15</f>
        <v>2271.81789667864</v>
      </c>
    </row>
    <row r="30" customFormat="false" ht="15" hidden="false" customHeight="false" outlineLevel="0" collapsed="false">
      <c r="B30" s="22" t="s">
        <v>302</v>
      </c>
      <c r="C30" s="23"/>
      <c r="D30" s="23"/>
      <c r="E30" s="23"/>
      <c r="F30" s="23"/>
      <c r="G30" s="23"/>
      <c r="H30" s="23"/>
      <c r="I30" s="23"/>
    </row>
    <row r="31" customFormat="false" ht="15" hidden="false" customHeight="false" outlineLevel="0" collapsed="false">
      <c r="B31" s="18" t="s">
        <v>303</v>
      </c>
      <c r="C31" s="15" t="n">
        <f aca="false">Assumptions!C39</f>
        <v>663</v>
      </c>
      <c r="D31" s="15" t="n">
        <f aca="false">Assumptions!D39</f>
        <v>663</v>
      </c>
      <c r="E31" s="15" t="n">
        <f aca="false">Assumptions!E39</f>
        <v>659.8</v>
      </c>
      <c r="F31" s="15" t="n">
        <f aca="false">Assumptions!F39</f>
        <v>659.8</v>
      </c>
      <c r="G31" s="15" t="n">
        <f aca="false">Assumptions!G39</f>
        <v>659.8</v>
      </c>
      <c r="H31" s="15" t="n">
        <f aca="false">Assumptions!H39</f>
        <v>659.8</v>
      </c>
      <c r="I31" s="15" t="n">
        <f aca="false">Assumptions!I39</f>
        <v>659.8</v>
      </c>
    </row>
    <row r="32" customFormat="false" ht="15" hidden="false" customHeight="false" outlineLevel="0" collapsed="false">
      <c r="B32" s="18" t="s">
        <v>304</v>
      </c>
      <c r="C32" s="45" t="n">
        <f aca="false">C18</f>
        <v>1830</v>
      </c>
      <c r="D32" s="45" t="n">
        <f aca="false">D18</f>
        <v>1923</v>
      </c>
      <c r="E32" s="45" t="n">
        <f aca="false">E18</f>
        <v>1984.05463780919</v>
      </c>
      <c r="F32" s="45" t="n">
        <f aca="false">F18</f>
        <v>2042.510914122</v>
      </c>
      <c r="G32" s="45" t="n">
        <f aca="false">G18</f>
        <v>2118.60897856595</v>
      </c>
      <c r="H32" s="45" t="n">
        <f aca="false">H18</f>
        <v>2195.07544117916</v>
      </c>
      <c r="I32" s="45" t="n">
        <f aca="false">I18</f>
        <v>2271.81789667864</v>
      </c>
    </row>
    <row r="33" customFormat="false" ht="15" hidden="false" customHeight="false" outlineLevel="0" collapsed="false">
      <c r="B33" s="10" t="s">
        <v>64</v>
      </c>
      <c r="C33" s="78" t="n">
        <f aca="false">C32/C31</f>
        <v>2.76018099547511</v>
      </c>
      <c r="D33" s="78" t="n">
        <f aca="false">D32/D31</f>
        <v>2.90045248868778</v>
      </c>
      <c r="E33" s="78" t="n">
        <f aca="false">E32/E31</f>
        <v>3.00705461929249</v>
      </c>
      <c r="F33" s="78" t="n">
        <f aca="false">F32/F31</f>
        <v>3.09565158248257</v>
      </c>
      <c r="G33" s="78" t="n">
        <f aca="false">G32/G31</f>
        <v>3.21098663013936</v>
      </c>
      <c r="H33" s="78" t="n">
        <f aca="false">H32/H31</f>
        <v>3.32688002603692</v>
      </c>
      <c r="I33" s="78" t="n">
        <f aca="false">I32/I31</f>
        <v>3.44319171973119</v>
      </c>
    </row>
    <row r="34" customFormat="false" ht="15" hidden="false" customHeight="false" outlineLevel="0" collapsed="false">
      <c r="B34" s="18" t="s">
        <v>305</v>
      </c>
      <c r="C34" s="79" t="n">
        <v>2.76</v>
      </c>
      <c r="D34" s="79" t="n">
        <v>2.9</v>
      </c>
      <c r="E34" s="79" t="n">
        <v>2.9</v>
      </c>
      <c r="F34" s="79"/>
      <c r="G34" s="79"/>
      <c r="H34" s="79"/>
      <c r="I34" s="7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306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307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64</v>
      </c>
      <c r="C6" s="16" t="n">
        <f aca="false">'Balance Sheet'!C33</f>
        <v>2.76018099547511</v>
      </c>
      <c r="D6" s="16" t="n">
        <f aca="false">'Balance Sheet'!D33</f>
        <v>2.90045248868778</v>
      </c>
      <c r="E6" s="16" t="n">
        <f aca="false">'Balance Sheet'!E33</f>
        <v>3.00705461929249</v>
      </c>
      <c r="F6" s="16" t="n">
        <f aca="false">'Balance Sheet'!F33</f>
        <v>3.09565158248257</v>
      </c>
      <c r="G6" s="16" t="n">
        <f aca="false">'Balance Sheet'!G33</f>
        <v>3.21098663013936</v>
      </c>
      <c r="H6" s="16" t="n">
        <f aca="false">'Balance Sheet'!H33</f>
        <v>3.32688002603692</v>
      </c>
      <c r="I6" s="16" t="n">
        <f aca="false">'Balance Sheet'!I33</f>
        <v>3.44319171973119</v>
      </c>
    </row>
    <row r="7" customFormat="false" ht="15" hidden="false" customHeight="false" outlineLevel="0" collapsed="false">
      <c r="B7" s="18" t="s">
        <v>308</v>
      </c>
      <c r="C7" s="49" t="n">
        <f aca="false">Control!$E$5/C6-1</f>
        <v>-0.0942622950819672</v>
      </c>
      <c r="D7" s="49" t="n">
        <f aca="false">Control!$E$5/D6-1</f>
        <v>-0.138065522620905</v>
      </c>
      <c r="E7" s="49" t="n">
        <f aca="false">Control!$E$5/E6-1</f>
        <v>-0.168621685831498</v>
      </c>
      <c r="F7" s="49" t="n">
        <f aca="false">Control!$E$5/F6-1</f>
        <v>-0.192415576046475</v>
      </c>
      <c r="G7" s="49" t="n">
        <f aca="false">Control!$E$5/G6-1</f>
        <v>-0.221423105118472</v>
      </c>
      <c r="H7" s="49" t="n">
        <f aca="false">Control!$E$5/H6-1</f>
        <v>-0.248545189356263</v>
      </c>
      <c r="I7" s="49" t="n">
        <f aca="false">Control!$E$5/I6-1</f>
        <v>-0.273929480698456</v>
      </c>
    </row>
    <row r="9" customFormat="false" ht="15" hidden="false" customHeight="false" outlineLevel="0" collapsed="false">
      <c r="B9" s="22" t="s">
        <v>309</v>
      </c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B10" s="18" t="s">
        <v>310</v>
      </c>
      <c r="D10" s="80" t="n">
        <v>-50</v>
      </c>
      <c r="E10" s="80" t="n">
        <v>-25</v>
      </c>
      <c r="F10" s="80" t="n">
        <v>0</v>
      </c>
      <c r="G10" s="80" t="n">
        <v>25</v>
      </c>
      <c r="H10" s="80" t="n">
        <v>50</v>
      </c>
    </row>
    <row r="11" customFormat="false" ht="15" hidden="false" customHeight="false" outlineLevel="0" collapsed="false">
      <c r="B11" s="18" t="s">
        <v>311</v>
      </c>
      <c r="D11" s="45" t="n">
        <f aca="false">Assumptions!E43/(Assumptions!E44+D10/10000)</f>
        <v>3220.00760658915</v>
      </c>
      <c r="E11" s="45" t="n">
        <f aca="false">Assumptions!E43/(Assumptions!E44+E10/10000)</f>
        <v>3071.20873382625</v>
      </c>
      <c r="F11" s="45" t="n">
        <f aca="false">Assumptions!E43/(Assumptions!E44+F10/10000)</f>
        <v>2935.55463780919</v>
      </c>
      <c r="G11" s="45" t="n">
        <f aca="false">Assumptions!E43/(Assumptions!E44+G10/10000)</f>
        <v>2811.37719966159</v>
      </c>
      <c r="H11" s="45" t="n">
        <f aca="false">Assumptions!E43/(Assumptions!E44+H10/10000)</f>
        <v>2697.27909902597</v>
      </c>
    </row>
    <row r="12" customFormat="false" ht="15" hidden="false" customHeight="false" outlineLevel="0" collapsed="false">
      <c r="B12" s="18" t="s">
        <v>312</v>
      </c>
      <c r="D12" s="81" t="n">
        <f aca="false">(D11+'Balance Sheet'!E7+'Balance Sheet'!E8+'Balance Sheet'!E9-Debt!E12-'Balance Sheet'!E14)/'Balance Sheet'!E31</f>
        <v>3.43817460834972</v>
      </c>
      <c r="E12" s="81" t="n">
        <f aca="false">(E11+'Balance Sheet'!E7+'Balance Sheet'!E8+'Balance Sheet'!E9-Debt!E12-'Balance Sheet'!E14)/'Balance Sheet'!E31</f>
        <v>3.21265343107949</v>
      </c>
      <c r="F12" s="81" t="n">
        <f aca="false">(F11+'Balance Sheet'!E7+'Balance Sheet'!E8+'Balance Sheet'!E9-Debt!E12-'Balance Sheet'!E14)/'Balance Sheet'!E31</f>
        <v>3.00705461929249</v>
      </c>
      <c r="G12" s="81" t="n">
        <f aca="false">(G11+'Balance Sheet'!E7+'Balance Sheet'!E8+'Balance Sheet'!E9-Debt!E12-'Balance Sheet'!E14)/'Balance Sheet'!E31</f>
        <v>2.81884995401878</v>
      </c>
      <c r="H12" s="81" t="n">
        <f aca="false">(H11+'Balance Sheet'!E7+'Balance Sheet'!E8+'Balance Sheet'!E9-Debt!E12-'Balance Sheet'!E14)/'Balance Sheet'!E31</f>
        <v>2.64592164144585</v>
      </c>
    </row>
    <row r="14" customFormat="false" ht="15" hidden="false" customHeight="false" outlineLevel="0" collapsed="false">
      <c r="B14" s="22" t="s">
        <v>313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70</v>
      </c>
      <c r="E15" s="49" t="n">
        <f aca="false">'P&amp;L'!E24/100/Control!E5</f>
        <v>0.0693403932019233</v>
      </c>
    </row>
    <row r="16" customFormat="false" ht="15" hidden="false" customHeight="false" outlineLevel="0" collapsed="false">
      <c r="B16" s="18" t="s">
        <v>314</v>
      </c>
      <c r="E16" s="49" t="n">
        <f aca="false">'P&amp;L'!E20/100/Control!E5</f>
        <v>0.0693403932019233</v>
      </c>
    </row>
    <row r="17" customFormat="false" ht="15" hidden="false" customHeight="false" outlineLevel="0" collapsed="false">
      <c r="B17" s="18" t="s">
        <v>315</v>
      </c>
      <c r="E17" s="49" t="n">
        <f aca="false">'P&amp;L'!E22/100/Control!E5</f>
        <v>0.068431026727234</v>
      </c>
    </row>
    <row r="19" customFormat="false" ht="15" hidden="false" customHeight="false" outlineLevel="0" collapsed="false">
      <c r="B19" s="22" t="s">
        <v>316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8" t="s">
        <v>317</v>
      </c>
      <c r="E20" s="82" t="n">
        <v>0.095</v>
      </c>
    </row>
    <row r="21" customFormat="false" ht="15" hidden="false" customHeight="false" outlineLevel="0" collapsed="false">
      <c r="B21" s="18" t="s">
        <v>318</v>
      </c>
      <c r="E21" s="82" t="n">
        <v>0.02</v>
      </c>
    </row>
    <row r="22" customFormat="false" ht="15" hidden="false" customHeight="false" outlineLevel="0" collapsed="false">
      <c r="B22" s="18" t="s">
        <v>319</v>
      </c>
      <c r="E22" s="12" t="n">
        <f aca="false">'P&amp;L'!E24</f>
        <v>17.3350983004808</v>
      </c>
      <c r="F22" s="12" t="n">
        <f aca="false">'P&amp;L'!F24</f>
        <v>17.6189428610093</v>
      </c>
      <c r="G22" s="12" t="n">
        <f aca="false">'P&amp;L'!G24</f>
        <v>18.1244814718301</v>
      </c>
      <c r="H22" s="12" t="n">
        <f aca="false">'P&amp;L'!H24</f>
        <v>18.6898899131862</v>
      </c>
      <c r="I22" s="12" t="n">
        <f aca="false">'P&amp;L'!I24</f>
        <v>19.2419788969347</v>
      </c>
    </row>
    <row r="23" customFormat="false" ht="15" hidden="false" customHeight="false" outlineLevel="0" collapsed="false">
      <c r="B23" s="18" t="s">
        <v>320</v>
      </c>
      <c r="E23" s="83" t="n">
        <v>1</v>
      </c>
      <c r="F23" s="83" t="n">
        <v>2</v>
      </c>
      <c r="G23" s="83" t="n">
        <v>3</v>
      </c>
      <c r="H23" s="83" t="n">
        <v>4</v>
      </c>
      <c r="I23" s="83" t="n">
        <v>5</v>
      </c>
    </row>
    <row r="24" customFormat="false" ht="15" hidden="false" customHeight="false" outlineLevel="0" collapsed="false">
      <c r="B24" s="18" t="s">
        <v>321</v>
      </c>
      <c r="E24" s="81" t="n">
        <f aca="false">E22/100/(1+$E$20)^E23</f>
        <v>0.158311400004391</v>
      </c>
      <c r="F24" s="81" t="n">
        <f aca="false">F22/100/(1+$E$20)^F23</f>
        <v>0.14694391577331</v>
      </c>
      <c r="G24" s="81" t="n">
        <f aca="false">G22/100/(1+$E$20)^G23</f>
        <v>0.138045811170054</v>
      </c>
      <c r="H24" s="81" t="n">
        <f aca="false">H22/100/(1+$E$20)^H23</f>
        <v>0.130002069716515</v>
      </c>
      <c r="I24" s="81" t="n">
        <f aca="false">I22/100/(1+$E$20)^I23</f>
        <v>0.122230373301027</v>
      </c>
    </row>
    <row r="25" customFormat="false" ht="15" hidden="false" customHeight="false" outlineLevel="0" collapsed="false">
      <c r="B25" s="18" t="s">
        <v>322</v>
      </c>
      <c r="I25" s="81" t="n">
        <f aca="false">I22/100*(1+$E$21)/($E$20-$E$21)</f>
        <v>2.61690912998312</v>
      </c>
    </row>
    <row r="26" customFormat="false" ht="15" hidden="false" customHeight="false" outlineLevel="0" collapsed="false">
      <c r="B26" s="18" t="s">
        <v>323</v>
      </c>
      <c r="I26" s="81" t="n">
        <f aca="false">I25/(1+$E$20)^I23</f>
        <v>1.66233307689396</v>
      </c>
    </row>
    <row r="27" customFormat="false" ht="15" hidden="false" customHeight="false" outlineLevel="0" collapsed="false">
      <c r="B27" s="10" t="s">
        <v>324</v>
      </c>
      <c r="E27" s="78" t="n">
        <f aca="false">SUM(E24:I24)+I26</f>
        <v>2.35786664685926</v>
      </c>
    </row>
    <row r="29" customFormat="false" ht="15" hidden="false" customHeight="false" outlineLevel="0" collapsed="false">
      <c r="B29" s="22" t="s">
        <v>325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326</v>
      </c>
      <c r="E30" s="84" t="n">
        <v>13</v>
      </c>
    </row>
    <row r="31" customFormat="false" ht="15" hidden="false" customHeight="false" outlineLevel="0" collapsed="false">
      <c r="B31" s="18" t="s">
        <v>67</v>
      </c>
      <c r="E31" s="12" t="n">
        <f aca="false">'P&amp;L'!E20</f>
        <v>17.3350983004808</v>
      </c>
    </row>
    <row r="32" customFormat="false" ht="15" hidden="false" customHeight="false" outlineLevel="0" collapsed="false">
      <c r="B32" s="10" t="s">
        <v>327</v>
      </c>
      <c r="E32" s="78" t="n">
        <f aca="false">E30*E31/100</f>
        <v>2.25356277906251</v>
      </c>
    </row>
    <row r="34" customFormat="false" ht="15" hidden="false" customHeight="false" outlineLevel="0" collapsed="false">
      <c r="B34" s="22" t="s">
        <v>328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329</v>
      </c>
      <c r="E35" s="68" t="n">
        <f aca="false">'Rates &amp; Macro'!E19</f>
        <v>0.043</v>
      </c>
    </row>
    <row r="36" customFormat="false" ht="15" hidden="false" customHeight="false" outlineLevel="0" collapsed="false">
      <c r="B36" s="18" t="s">
        <v>330</v>
      </c>
      <c r="E36" s="85" t="n">
        <v>0.055</v>
      </c>
    </row>
    <row r="37" customFormat="false" ht="15" hidden="false" customHeight="false" outlineLevel="0" collapsed="false">
      <c r="B37" s="18" t="s">
        <v>331</v>
      </c>
      <c r="E37" s="84" t="n">
        <v>0.75</v>
      </c>
    </row>
    <row r="38" customFormat="false" ht="15" hidden="false" customHeight="false" outlineLevel="0" collapsed="false">
      <c r="B38" s="10" t="s">
        <v>332</v>
      </c>
      <c r="E38" s="42" t="n">
        <f aca="false">E35+E37*E36</f>
        <v>0.08425</v>
      </c>
    </row>
    <row r="39" customFormat="false" ht="15" hidden="false" customHeight="false" outlineLevel="0" collapsed="false">
      <c r="B39" s="10" t="s">
        <v>333</v>
      </c>
      <c r="E39" s="86" t="n">
        <v>0.12</v>
      </c>
    </row>
    <row r="41" customFormat="false" ht="15" hidden="false" customHeight="false" outlineLevel="0" collapsed="false">
      <c r="B41" s="22" t="s">
        <v>334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8" t="s">
        <v>335</v>
      </c>
      <c r="E42" s="87" t="n">
        <v>14</v>
      </c>
    </row>
    <row r="43" customFormat="false" ht="15" hidden="false" customHeight="false" outlineLevel="0" collapsed="false">
      <c r="B43" s="18" t="s">
        <v>336</v>
      </c>
      <c r="E43" s="87" t="n">
        <v>1</v>
      </c>
    </row>
    <row r="44" customFormat="false" ht="15" hidden="false" customHeight="false" outlineLevel="0" collapsed="false">
      <c r="B44" s="18" t="s">
        <v>337</v>
      </c>
      <c r="E44" s="87" t="n">
        <v>0</v>
      </c>
    </row>
    <row r="45" customFormat="false" ht="15" hidden="false" customHeight="false" outlineLevel="0" collapsed="false">
      <c r="B45" s="18" t="s">
        <v>338</v>
      </c>
      <c r="E45" s="87" t="n">
        <v>-0.25</v>
      </c>
    </row>
    <row r="46" customFormat="false" ht="15" hidden="false" customHeight="false" outlineLevel="0" collapsed="false">
      <c r="B46" s="18" t="s">
        <v>339</v>
      </c>
      <c r="E46" s="87" t="n">
        <v>-0.25</v>
      </c>
    </row>
    <row r="47" customFormat="false" ht="15" hidden="false" customHeight="false" outlineLevel="0" collapsed="false">
      <c r="B47" s="18" t="s">
        <v>340</v>
      </c>
      <c r="E47" s="87" t="n">
        <v>0.5</v>
      </c>
    </row>
    <row r="48" customFormat="false" ht="15" hidden="false" customHeight="false" outlineLevel="0" collapsed="false">
      <c r="B48" s="18" t="s">
        <v>341</v>
      </c>
      <c r="E48" s="87" t="n">
        <v>-0.25</v>
      </c>
    </row>
    <row r="49" customFormat="false" ht="15" hidden="false" customHeight="false" outlineLevel="0" collapsed="false">
      <c r="B49" s="10" t="s">
        <v>342</v>
      </c>
      <c r="E49" s="88" t="n">
        <f aca="false">SUM(E42:E48)</f>
        <v>14.75</v>
      </c>
    </row>
    <row r="50" customFormat="false" ht="15" hidden="false" customHeight="false" outlineLevel="0" collapsed="false">
      <c r="B50" s="18" t="s">
        <v>343</v>
      </c>
      <c r="E50" s="46" t="n">
        <f aca="false">1/E49</f>
        <v>0.0677966101694915</v>
      </c>
    </row>
    <row r="52" customFormat="false" ht="15" hidden="false" customHeight="false" outlineLevel="0" collapsed="false">
      <c r="B52" s="22" t="s">
        <v>344</v>
      </c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B53" s="18" t="s">
        <v>345</v>
      </c>
      <c r="E53" s="12" t="n">
        <f aca="false">'P&amp;L'!E20</f>
        <v>17.3350983004808</v>
      </c>
      <c r="F53" s="12" t="n">
        <f aca="false">'P&amp;L'!F20</f>
        <v>17.6189428610093</v>
      </c>
      <c r="G53" s="12" t="n">
        <f aca="false">'P&amp;L'!G20</f>
        <v>18.1244814718301</v>
      </c>
      <c r="H53" s="12" t="n">
        <f aca="false">'P&amp;L'!H20</f>
        <v>18.6898899131862</v>
      </c>
      <c r="I53" s="12" t="n">
        <f aca="false">'P&amp;L'!I20</f>
        <v>19.2419788969347</v>
      </c>
    </row>
    <row r="54" customFormat="false" ht="15" hidden="false" customHeight="false" outlineLevel="0" collapsed="false">
      <c r="B54" s="18" t="s">
        <v>320</v>
      </c>
      <c r="E54" s="83" t="n">
        <v>1</v>
      </c>
      <c r="F54" s="83" t="n">
        <v>2</v>
      </c>
      <c r="G54" s="83" t="n">
        <v>3</v>
      </c>
      <c r="H54" s="83" t="n">
        <v>4</v>
      </c>
      <c r="I54" s="83" t="n">
        <v>5</v>
      </c>
    </row>
    <row r="55" customFormat="false" ht="15" hidden="false" customHeight="false" outlineLevel="0" collapsed="false">
      <c r="B55" s="18" t="s">
        <v>346</v>
      </c>
      <c r="E55" s="81" t="n">
        <f aca="false">(E53/100)/(1+$E$39)^E54</f>
        <v>0.15477766339715</v>
      </c>
      <c r="F55" s="81" t="n">
        <f aca="false">(F53/100)/(1+$E$39)^F54</f>
        <v>0.140457133777178</v>
      </c>
      <c r="G55" s="81" t="n">
        <f aca="false">(G53/100)/(1+$E$39)^G54</f>
        <v>0.129006479135088</v>
      </c>
      <c r="H55" s="81" t="n">
        <f aca="false">(H53/100)/(1+$E$39)^H54</f>
        <v>0.11877762923226</v>
      </c>
      <c r="I55" s="81" t="n">
        <f aca="false">(I53/100)/(1+$E$39)^I54</f>
        <v>0.109184155832913</v>
      </c>
    </row>
    <row r="56" customFormat="false" ht="15" hidden="false" customHeight="false" outlineLevel="0" collapsed="false">
      <c r="B56" s="18" t="s">
        <v>347</v>
      </c>
      <c r="I56" s="81" t="n">
        <f aca="false">I53/100*$E$49</f>
        <v>2.83819188729787</v>
      </c>
    </row>
    <row r="57" customFormat="false" ht="15" hidden="false" customHeight="false" outlineLevel="0" collapsed="false">
      <c r="B57" s="18" t="s">
        <v>348</v>
      </c>
      <c r="I57" s="81" t="n">
        <f aca="false">(I53/100)/$E$50</f>
        <v>2.83819188729787</v>
      </c>
    </row>
    <row r="58" customFormat="false" ht="15" hidden="false" customHeight="false" outlineLevel="0" collapsed="false">
      <c r="B58" s="18" t="s">
        <v>349</v>
      </c>
      <c r="I58" s="81" t="n">
        <f aca="false">I56/(1+$E$39)^I54</f>
        <v>1.61046629853546</v>
      </c>
    </row>
    <row r="59" customFormat="false" ht="15" hidden="false" customHeight="false" outlineLevel="0" collapsed="false">
      <c r="B59" s="10" t="s">
        <v>350</v>
      </c>
      <c r="E59" s="89" t="n">
        <f aca="false">SUM(E55:I55)+I58</f>
        <v>2.26266935991005</v>
      </c>
    </row>
    <row r="60" customFormat="false" ht="15" hidden="false" customHeight="false" outlineLevel="0" collapsed="false">
      <c r="B60" s="10" t="s">
        <v>351</v>
      </c>
      <c r="E60" s="90" t="n">
        <f aca="false">E59-Control!E5</f>
        <v>-0.237330640089947</v>
      </c>
    </row>
    <row r="61" customFormat="false" ht="15" hidden="false" customHeight="false" outlineLevel="0" collapsed="false">
      <c r="B61" s="10" t="s">
        <v>352</v>
      </c>
      <c r="E61" s="66" t="n">
        <f aca="false">E59/Control!E5-1</f>
        <v>-0.0949322560359788</v>
      </c>
    </row>
    <row r="62" customFormat="false" ht="15" hidden="false" customHeight="false" outlineLevel="0" collapsed="false">
      <c r="B62" s="18" t="s">
        <v>353</v>
      </c>
      <c r="D62" s="81" t="n">
        <f aca="false">-Control!E5</f>
        <v>-2.5</v>
      </c>
      <c r="E62" s="81" t="n">
        <f aca="false">E53/100</f>
        <v>0.173350983004808</v>
      </c>
      <c r="F62" s="81" t="n">
        <f aca="false">F53/100</f>
        <v>0.176189428610093</v>
      </c>
      <c r="G62" s="81" t="n">
        <f aca="false">G53/100</f>
        <v>0.181244814718301</v>
      </c>
      <c r="H62" s="81" t="n">
        <f aca="false">H53/100</f>
        <v>0.186898899131862</v>
      </c>
      <c r="I62" s="81" t="n">
        <f aca="false">I53/100+I56</f>
        <v>3.03061167626721</v>
      </c>
    </row>
    <row r="63" customFormat="false" ht="15" hidden="false" customHeight="false" outlineLevel="0" collapsed="false">
      <c r="B63" s="10" t="s">
        <v>354</v>
      </c>
      <c r="E63" s="91" t="n">
        <f aca="false">IRR(D62:I62)</f>
        <v>0.0948441042067599</v>
      </c>
    </row>
    <row r="65" customFormat="false" ht="15" hidden="false" customHeight="false" outlineLevel="0" collapsed="false">
      <c r="B65" s="22" t="s">
        <v>355</v>
      </c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B66" s="18" t="s">
        <v>356</v>
      </c>
      <c r="D66" s="92" t="n">
        <f aca="false">$E$39+(-0.02)</f>
        <v>0.1</v>
      </c>
      <c r="E66" s="92" t="n">
        <f aca="false">$E$39+(-0.01)</f>
        <v>0.11</v>
      </c>
      <c r="F66" s="92" t="n">
        <f aca="false">$E$39+(0)</f>
        <v>0.12</v>
      </c>
      <c r="G66" s="92" t="n">
        <f aca="false">$E$39+(0.01)</f>
        <v>0.13</v>
      </c>
      <c r="H66" s="92" t="n">
        <f aca="false">$E$39+(0.02)</f>
        <v>0.14</v>
      </c>
    </row>
    <row r="67" customFormat="false" ht="15" hidden="false" customHeight="false" outlineLevel="0" collapsed="false">
      <c r="B67" s="18" t="s">
        <v>357</v>
      </c>
      <c r="D67" s="81" t="n">
        <f aca="false">SUMPRODUCT($E$53:$I$53,1/(1+D66)^$E$54:$I$54)/100+$I$56/(1+D66)^5</f>
        <v>2.44880068724738</v>
      </c>
      <c r="E67" s="81" t="n">
        <f aca="false">SUMPRODUCT($E$53:$I$53,1/(1+E66)^$E$54:$I$54)/100+$I$56/(1+E66)^5</f>
        <v>2.35333261395131</v>
      </c>
      <c r="F67" s="81" t="n">
        <f aca="false">SUMPRODUCT($E$53:$I$53,1/(1+F66)^$E$54:$I$54)/100+$I$56/(1+F66)^5</f>
        <v>2.26266935991005</v>
      </c>
      <c r="G67" s="81" t="n">
        <f aca="false">SUMPRODUCT($E$53:$I$53,1/(1+G66)^$E$54:$I$54)/100+$I$56/(1+G66)^5</f>
        <v>2.17652505894601</v>
      </c>
      <c r="H67" s="81" t="n">
        <f aca="false">SUMPRODUCT($E$53:$I$53,1/(1+H66)^$E$54:$I$54)/100+$I$56/(1+H66)^5</f>
        <v>2.0946332878974</v>
      </c>
    </row>
    <row r="69" customFormat="false" ht="15" hidden="false" customHeight="false" outlineLevel="0" collapsed="false">
      <c r="B69" s="22" t="s">
        <v>358</v>
      </c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B70" s="18" t="s">
        <v>359</v>
      </c>
      <c r="E70" s="85" t="n">
        <v>0.0675</v>
      </c>
    </row>
    <row r="71" customFormat="false" ht="15" hidden="false" customHeight="false" outlineLevel="0" collapsed="false">
      <c r="B71" s="18" t="s">
        <v>360</v>
      </c>
      <c r="E71" s="85" t="n">
        <v>0.0575</v>
      </c>
    </row>
    <row r="72" customFormat="false" ht="15" hidden="false" customHeight="false" outlineLevel="0" collapsed="false">
      <c r="B72" s="18" t="s">
        <v>361</v>
      </c>
      <c r="E72" s="85" t="n">
        <v>0.025</v>
      </c>
    </row>
    <row r="73" customFormat="false" ht="15" hidden="false" customHeight="false" outlineLevel="0" collapsed="false">
      <c r="B73" s="18" t="s">
        <v>362</v>
      </c>
      <c r="E73" s="11" t="n">
        <f aca="false">Assumptions!E43-Assumptions!E28-Assumptions!E29-Assumptions!E31-Assumptions!E32</f>
        <v>155.345728586572</v>
      </c>
      <c r="F73" s="11" t="n">
        <f aca="false">Assumptions!F43-Assumptions!F28-Assumptions!F29-Assumptions!F31-Assumptions!F32</f>
        <v>158.827384996939</v>
      </c>
      <c r="G73" s="11" t="n">
        <f aca="false">Assumptions!G43-Assumptions!G28-Assumptions!G29-Assumptions!G31-Assumptions!G32</f>
        <v>163.254641251135</v>
      </c>
      <c r="H73" s="11" t="n">
        <f aca="false">Assumptions!H43-Assumptions!H28-Assumptions!H29-Assumptions!H31-Assumptions!H32</f>
        <v>167.701643647203</v>
      </c>
      <c r="I73" s="11" t="n">
        <f aca="false">Assumptions!I43-Assumptions!I28-Assumptions!I29-Assumptions!I31-Assumptions!I32</f>
        <v>172.163439261975</v>
      </c>
    </row>
    <row r="74" customFormat="false" ht="15" hidden="false" customHeight="false" outlineLevel="0" collapsed="false">
      <c r="B74" s="18" t="s">
        <v>320</v>
      </c>
      <c r="E74" s="83" t="n">
        <v>1</v>
      </c>
      <c r="F74" s="83" t="n">
        <v>2</v>
      </c>
      <c r="G74" s="83" t="n">
        <v>3</v>
      </c>
      <c r="H74" s="83" t="n">
        <v>4</v>
      </c>
      <c r="I74" s="83" t="n">
        <v>5</v>
      </c>
    </row>
    <row r="75" customFormat="false" ht="15" hidden="false" customHeight="false" outlineLevel="0" collapsed="false">
      <c r="B75" s="18" t="s">
        <v>363</v>
      </c>
      <c r="E75" s="45" t="n">
        <f aca="false">E73/(1+$E$70)^E74</f>
        <v>145.522930760255</v>
      </c>
      <c r="F75" s="45" t="n">
        <f aca="false">F73/(1+$E$70)^F74</f>
        <v>139.376520463065</v>
      </c>
      <c r="G75" s="45" t="n">
        <f aca="false">G73/(1+$E$70)^G74</f>
        <v>134.202895420584</v>
      </c>
      <c r="H75" s="45" t="n">
        <f aca="false">H73/(1+$E$70)^H74</f>
        <v>129.14148747105</v>
      </c>
      <c r="I75" s="45" t="n">
        <f aca="false">I73/(1+$E$70)^I74</f>
        <v>124.194256354408</v>
      </c>
    </row>
    <row r="76" customFormat="false" ht="15" hidden="false" customHeight="false" outlineLevel="0" collapsed="false">
      <c r="B76" s="18" t="s">
        <v>364</v>
      </c>
      <c r="I76" s="45" t="n">
        <f aca="false">Assumptions!I43*(1+$E$72)/$E$71</f>
        <v>3278.42048305759</v>
      </c>
    </row>
    <row r="77" customFormat="false" ht="15" hidden="false" customHeight="false" outlineLevel="0" collapsed="false">
      <c r="B77" s="18" t="s">
        <v>365</v>
      </c>
      <c r="I77" s="45" t="n">
        <f aca="false">I76/(1+$E$70)^I74</f>
        <v>2364.96782159907</v>
      </c>
    </row>
    <row r="78" customFormat="false" ht="15" hidden="false" customHeight="false" outlineLevel="0" collapsed="false">
      <c r="B78" s="10" t="s">
        <v>366</v>
      </c>
      <c r="E78" s="65" t="n">
        <f aca="false">SUM(E75:I75)+I77</f>
        <v>3037.40591206844</v>
      </c>
    </row>
    <row r="79" customFormat="false" ht="15" hidden="false" customHeight="false" outlineLevel="0" collapsed="false">
      <c r="B79" s="18" t="s">
        <v>367</v>
      </c>
      <c r="E79" s="45" t="n">
        <f aca="false">-Debt!D12+'Balance Sheet'!D9-'Balance Sheet'!D14</f>
        <v>-940</v>
      </c>
    </row>
    <row r="80" customFormat="false" ht="15" hidden="false" customHeight="false" outlineLevel="0" collapsed="false">
      <c r="B80" s="10" t="s">
        <v>368</v>
      </c>
      <c r="E80" s="55" t="n">
        <f aca="false">E78+E79</f>
        <v>2097.40591206844</v>
      </c>
    </row>
    <row r="81" customFormat="false" ht="15" hidden="false" customHeight="false" outlineLevel="0" collapsed="false">
      <c r="B81" s="10" t="s">
        <v>369</v>
      </c>
      <c r="E81" s="89" t="n">
        <f aca="false">E80/'Balance Sheet'!D31</f>
        <v>3.16350816299915</v>
      </c>
    </row>
    <row r="83" customFormat="false" ht="15" hidden="false" customHeight="false" outlineLevel="0" collapsed="false">
      <c r="B83" s="22" t="s">
        <v>370</v>
      </c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B84" s="18" t="s">
        <v>371</v>
      </c>
      <c r="D84" s="47" t="n">
        <v>0.25</v>
      </c>
      <c r="E84" s="16" t="n">
        <f aca="false">E6</f>
        <v>3.00705461929249</v>
      </c>
    </row>
    <row r="85" customFormat="false" ht="15" hidden="false" customHeight="false" outlineLevel="0" collapsed="false">
      <c r="B85" s="18" t="s">
        <v>372</v>
      </c>
      <c r="D85" s="47" t="n">
        <v>0.25</v>
      </c>
      <c r="E85" s="16" t="n">
        <f aca="false">E81</f>
        <v>3.16350816299915</v>
      </c>
    </row>
    <row r="86" customFormat="false" ht="15" hidden="false" customHeight="false" outlineLevel="0" collapsed="false">
      <c r="B86" s="18" t="s">
        <v>373</v>
      </c>
      <c r="D86" s="47" t="n">
        <v>0.25</v>
      </c>
      <c r="E86" s="16" t="n">
        <f aca="false">E59</f>
        <v>2.26266935991005</v>
      </c>
    </row>
    <row r="87" customFormat="false" ht="15" hidden="false" customHeight="false" outlineLevel="0" collapsed="false">
      <c r="B87" s="18" t="s">
        <v>374</v>
      </c>
      <c r="D87" s="47" t="n">
        <v>0.15</v>
      </c>
      <c r="E87" s="16" t="n">
        <f aca="false">E27</f>
        <v>2.35786664685926</v>
      </c>
    </row>
    <row r="88" customFormat="false" ht="15" hidden="false" customHeight="false" outlineLevel="0" collapsed="false">
      <c r="B88" s="18" t="s">
        <v>375</v>
      </c>
      <c r="D88" s="47" t="n">
        <v>0.1</v>
      </c>
      <c r="E88" s="16" t="n">
        <f aca="false">E32</f>
        <v>2.25356277906251</v>
      </c>
    </row>
    <row r="89" customFormat="false" ht="15" hidden="false" customHeight="false" outlineLevel="0" collapsed="false">
      <c r="B89" s="18" t="s">
        <v>376</v>
      </c>
      <c r="D89" s="69" t="n">
        <f aca="false">SUM(D84:D88)</f>
        <v>1</v>
      </c>
    </row>
    <row r="90" customFormat="false" ht="15" hidden="false" customHeight="false" outlineLevel="0" collapsed="false">
      <c r="B90" s="10" t="s">
        <v>377</v>
      </c>
      <c r="E90" s="89" t="n">
        <f aca="false">D84*E84+D85*E85+D86*E86+D87*E87+D88*E88</f>
        <v>2.68734431048556</v>
      </c>
    </row>
    <row r="91" customFormat="false" ht="15" hidden="false" customHeight="false" outlineLevel="0" collapsed="false">
      <c r="B91" s="10" t="s">
        <v>378</v>
      </c>
      <c r="E91" s="66" t="n">
        <f aca="false">E90/Control!E5-1</f>
        <v>0.0749377241942253</v>
      </c>
    </row>
    <row r="93" customFormat="false" ht="15" hidden="false" customHeight="false" outlineLevel="0" collapsed="false">
      <c r="B93" s="22" t="s">
        <v>379</v>
      </c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B94" s="18" t="s">
        <v>380</v>
      </c>
      <c r="E94" s="93" t="n">
        <f aca="false">E39</f>
        <v>0.12</v>
      </c>
    </row>
    <row r="95" customFormat="false" ht="15" hidden="false" customHeight="false" outlineLevel="0" collapsed="false">
      <c r="B95" s="10" t="s">
        <v>381</v>
      </c>
      <c r="E95" s="89" t="n">
        <f aca="false">E59</f>
        <v>2.26266935991005</v>
      </c>
    </row>
    <row r="96" customFormat="false" ht="15" hidden="false" customHeight="false" outlineLevel="0" collapsed="false">
      <c r="B96" s="18" t="s">
        <v>382</v>
      </c>
      <c r="E96" s="16" t="n">
        <f aca="false">Control!E5</f>
        <v>2.5</v>
      </c>
    </row>
    <row r="97" customFormat="false" ht="15" hidden="false" customHeight="false" outlineLevel="0" collapsed="false">
      <c r="B97" s="10" t="s">
        <v>383</v>
      </c>
      <c r="E97" s="94" t="n">
        <f aca="false">E95-E96</f>
        <v>-0.237330640089947</v>
      </c>
    </row>
    <row r="98" customFormat="false" ht="15" hidden="false" customHeight="false" outlineLevel="0" collapsed="false">
      <c r="B98" s="10" t="s">
        <v>384</v>
      </c>
      <c r="E98" s="95" t="str">
        <f aca="false">IF(E96&lt;=E95,"BUY - price below threshold","WAIT - above threshold")</f>
        <v>WAIT - above threshold</v>
      </c>
    </row>
    <row r="100" customFormat="false" ht="15" hidden="false" customHeight="false" outlineLevel="0" collapsed="false">
      <c r="B100" s="22" t="s">
        <v>385</v>
      </c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B101" s="18" t="s">
        <v>386</v>
      </c>
      <c r="E101" s="16" t="n">
        <f aca="false">E81</f>
        <v>3.16350816299915</v>
      </c>
    </row>
    <row r="102" customFormat="false" ht="15" hidden="false" customHeight="false" outlineLevel="0" collapsed="false">
      <c r="B102" s="18" t="s">
        <v>387</v>
      </c>
      <c r="E102" s="16" t="n">
        <f aca="false">E6</f>
        <v>3.00705461929249</v>
      </c>
    </row>
    <row r="103" customFormat="false" ht="15" hidden="false" customHeight="false" outlineLevel="0" collapsed="false">
      <c r="B103" s="18" t="s">
        <v>388</v>
      </c>
      <c r="E103" s="11" t="n">
        <f aca="false">Assumptions!E28</f>
        <v>8.80666391342756</v>
      </c>
    </row>
    <row r="104" customFormat="false" ht="15" hidden="false" customHeight="false" outlineLevel="0" collapsed="false">
      <c r="B104" s="18" t="s">
        <v>389</v>
      </c>
      <c r="E104" s="84" t="n">
        <v>0</v>
      </c>
    </row>
    <row r="105" customFormat="false" ht="15" hidden="false" customHeight="false" outlineLevel="0" collapsed="false">
      <c r="B105" s="18" t="s">
        <v>390</v>
      </c>
      <c r="E105" s="81" t="n">
        <f aca="false">E103*E104/'Balance Sheet'!D31</f>
        <v>0</v>
      </c>
    </row>
    <row r="106" customFormat="false" ht="15" hidden="false" customHeight="false" outlineLevel="0" collapsed="false">
      <c r="B106" s="18" t="s">
        <v>391</v>
      </c>
      <c r="E106" s="82" t="n">
        <v>0.12</v>
      </c>
    </row>
    <row r="107" customFormat="false" ht="15" hidden="false" customHeight="false" outlineLevel="0" collapsed="false">
      <c r="B107" s="10" t="s">
        <v>392</v>
      </c>
      <c r="E107" s="89" t="n">
        <f aca="false">(E101+E105)*(1+E106)</f>
        <v>3.54312914255905</v>
      </c>
    </row>
    <row r="108" customFormat="false" ht="15" hidden="false" customHeight="false" outlineLevel="0" collapsed="false">
      <c r="B108" s="10" t="s">
        <v>393</v>
      </c>
      <c r="E108" s="66" t="n">
        <f aca="false">E107/Control!E5-1</f>
        <v>0.417251657023618</v>
      </c>
    </row>
    <row r="109" customFormat="false" ht="15" hidden="false" customHeight="false" outlineLevel="0" collapsed="false">
      <c r="B109" s="18" t="s">
        <v>394</v>
      </c>
      <c r="E109" s="81" t="n">
        <f aca="false">E107-E59</f>
        <v>1.28045978264899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8.55" hidden="false" customHeight="false" outlineLevel="0" collapsed="false">
      <c r="B2" s="96" t="s">
        <v>395</v>
      </c>
      <c r="C2" s="96"/>
      <c r="D2" s="96"/>
      <c r="E2" s="96"/>
      <c r="F2" s="96"/>
      <c r="G2" s="96"/>
      <c r="H2" s="96"/>
      <c r="I2" s="96"/>
      <c r="J2" s="96"/>
    </row>
    <row r="4" customFormat="false" ht="15" hidden="false" customHeight="false" outlineLevel="0" collapsed="false">
      <c r="B4" s="22" t="s">
        <v>396</v>
      </c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B5" s="18" t="s">
        <v>397</v>
      </c>
      <c r="E5" s="97" t="n">
        <f aca="false">Control!E5</f>
        <v>2.5</v>
      </c>
    </row>
    <row r="6" customFormat="false" ht="15" hidden="false" customHeight="false" outlineLevel="0" collapsed="false">
      <c r="B6" s="18" t="s">
        <v>398</v>
      </c>
      <c r="E6" s="98" t="n">
        <v>5</v>
      </c>
    </row>
    <row r="7" customFormat="false" ht="15" hidden="false" customHeight="false" outlineLevel="0" collapsed="false">
      <c r="B7" s="18" t="s">
        <v>399</v>
      </c>
      <c r="E7" s="85" t="n">
        <v>0.0575</v>
      </c>
    </row>
    <row r="8" customFormat="false" ht="15" hidden="false" customHeight="false" outlineLevel="0" collapsed="false">
      <c r="B8" s="18" t="s">
        <v>400</v>
      </c>
      <c r="E8" s="82" t="n">
        <v>0.01</v>
      </c>
    </row>
    <row r="9" customFormat="false" ht="15" hidden="false" customHeight="false" outlineLevel="0" collapsed="false">
      <c r="B9" s="18" t="s">
        <v>401</v>
      </c>
      <c r="E9" s="82" t="n">
        <v>0.025</v>
      </c>
    </row>
    <row r="11" customFormat="false" ht="15" hidden="false" customHeight="false" outlineLevel="0" collapsed="false">
      <c r="B11" s="22" t="s">
        <v>402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18" t="s">
        <v>403</v>
      </c>
      <c r="E12" s="11" t="n">
        <f aca="false">Assumptions!I43</f>
        <v>183.911392952011</v>
      </c>
    </row>
    <row r="13" customFormat="false" ht="15" hidden="false" customHeight="false" outlineLevel="0" collapsed="false">
      <c r="B13" s="18" t="s">
        <v>404</v>
      </c>
      <c r="E13" s="45" t="n">
        <f aca="false">E12*(1+E9)</f>
        <v>188.509177775811</v>
      </c>
    </row>
    <row r="14" customFormat="false" ht="15" hidden="false" customHeight="false" outlineLevel="0" collapsed="false">
      <c r="B14" s="18" t="s">
        <v>405</v>
      </c>
      <c r="E14" s="45" t="n">
        <f aca="false">E13/E7</f>
        <v>3278.42048305759</v>
      </c>
    </row>
    <row r="15" customFormat="false" ht="15" hidden="false" customHeight="false" outlineLevel="0" collapsed="false">
      <c r="B15" s="18" t="s">
        <v>406</v>
      </c>
      <c r="E15" s="11" t="n">
        <f aca="false">'Balance Sheet'!I7</f>
        <v>0</v>
      </c>
    </row>
    <row r="16" customFormat="false" ht="15" hidden="false" customHeight="false" outlineLevel="0" collapsed="false">
      <c r="B16" s="18" t="s">
        <v>407</v>
      </c>
      <c r="E16" s="11" t="n">
        <f aca="false">'Cash Flow'!I13</f>
        <v>3</v>
      </c>
    </row>
    <row r="17" customFormat="false" ht="15" hidden="false" customHeight="false" outlineLevel="0" collapsed="false">
      <c r="B17" s="18" t="s">
        <v>408</v>
      </c>
      <c r="E17" s="11" t="n">
        <f aca="false">'Balance Sheet'!I9</f>
        <v>5</v>
      </c>
    </row>
    <row r="18" customFormat="false" ht="15" hidden="false" customHeight="false" outlineLevel="0" collapsed="false">
      <c r="B18" s="18" t="s">
        <v>409</v>
      </c>
      <c r="E18" s="11" t="n">
        <f aca="false">Debt!I12</f>
        <v>975.5</v>
      </c>
    </row>
    <row r="19" customFormat="false" ht="15" hidden="false" customHeight="false" outlineLevel="0" collapsed="false">
      <c r="B19" s="18" t="s">
        <v>410</v>
      </c>
      <c r="E19" s="11" t="n">
        <f aca="false">'Balance Sheet'!I14</f>
        <v>10</v>
      </c>
    </row>
    <row r="20" customFormat="false" ht="15" hidden="false" customHeight="false" outlineLevel="0" collapsed="false">
      <c r="B20" s="10" t="s">
        <v>411</v>
      </c>
      <c r="E20" s="65" t="n">
        <f aca="false">E14+E15+E16+E17-E18-E19</f>
        <v>2300.92048305759</v>
      </c>
    </row>
    <row r="21" customFormat="false" ht="15" hidden="false" customHeight="false" outlineLevel="0" collapsed="false">
      <c r="B21" s="18" t="s">
        <v>303</v>
      </c>
      <c r="E21" s="99" t="n">
        <f aca="false">Assumptions!I39</f>
        <v>659.8</v>
      </c>
    </row>
    <row r="22" customFormat="false" ht="15" hidden="false" customHeight="false" outlineLevel="0" collapsed="false">
      <c r="B22" s="18" t="s">
        <v>412</v>
      </c>
      <c r="E22" s="81" t="n">
        <f aca="false">E20/E21</f>
        <v>3.48729991369746</v>
      </c>
    </row>
    <row r="23" customFormat="false" ht="15" hidden="false" customHeight="false" outlineLevel="0" collapsed="false">
      <c r="B23" s="10" t="s">
        <v>413</v>
      </c>
      <c r="E23" s="90" t="n">
        <f aca="false">E22*(1-E8)</f>
        <v>3.45242691456049</v>
      </c>
    </row>
    <row r="25" customFormat="false" ht="15" hidden="false" customHeight="false" outlineLevel="0" collapsed="false">
      <c r="B25" s="22" t="s">
        <v>414</v>
      </c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C26" s="9" t="s">
        <v>415</v>
      </c>
      <c r="D26" s="9" t="s">
        <v>28</v>
      </c>
      <c r="E26" s="9" t="s">
        <v>29</v>
      </c>
      <c r="F26" s="9" t="s">
        <v>30</v>
      </c>
      <c r="G26" s="9" t="s">
        <v>31</v>
      </c>
      <c r="H26" s="9" t="s">
        <v>416</v>
      </c>
    </row>
    <row r="27" customFormat="false" ht="15" hidden="false" customHeight="false" outlineLevel="0" collapsed="false">
      <c r="B27" s="18" t="s">
        <v>417</v>
      </c>
      <c r="C27" s="81" t="n">
        <v>0</v>
      </c>
      <c r="D27" s="16" t="n">
        <f aca="false">'P&amp;L'!E24/100</f>
        <v>0.173350983004808</v>
      </c>
      <c r="E27" s="16" t="n">
        <f aca="false">'P&amp;L'!F24/100</f>
        <v>0.176189428610093</v>
      </c>
      <c r="F27" s="16" t="n">
        <f aca="false">'P&amp;L'!G24/100</f>
        <v>0.181244814718301</v>
      </c>
      <c r="G27" s="16" t="n">
        <f aca="false">'P&amp;L'!H24/100</f>
        <v>0.186898899131862</v>
      </c>
      <c r="H27" s="16" t="n">
        <f aca="false">'P&amp;L'!I24/100</f>
        <v>0.192419788969347</v>
      </c>
    </row>
    <row r="28" customFormat="false" ht="15" hidden="false" customHeight="false" outlineLevel="0" collapsed="false">
      <c r="B28" s="18" t="s">
        <v>418</v>
      </c>
      <c r="H28" s="81" t="n">
        <f aca="false">E23</f>
        <v>3.45242691456049</v>
      </c>
    </row>
    <row r="29" customFormat="false" ht="15" hidden="false" customHeight="false" outlineLevel="0" collapsed="false">
      <c r="B29" s="10" t="s">
        <v>419</v>
      </c>
      <c r="C29" s="78" t="n">
        <f aca="false">-E5</f>
        <v>-2.5</v>
      </c>
      <c r="D29" s="78" t="n">
        <f aca="false">D27</f>
        <v>0.173350983004808</v>
      </c>
      <c r="E29" s="78" t="n">
        <f aca="false">E27</f>
        <v>0.176189428610093</v>
      </c>
      <c r="F29" s="78" t="n">
        <f aca="false">F27</f>
        <v>0.181244814718301</v>
      </c>
      <c r="G29" s="78" t="n">
        <f aca="false">G27</f>
        <v>0.186898899131862</v>
      </c>
      <c r="H29" s="78" t="n">
        <f aca="false">H27+H28</f>
        <v>3.64484670352984</v>
      </c>
    </row>
    <row r="31" customFormat="false" ht="15" hidden="false" customHeight="false" outlineLevel="0" collapsed="false">
      <c r="B31" s="10" t="s">
        <v>420</v>
      </c>
      <c r="E31" s="100" t="n">
        <f aca="false">IRR(C29:H29)</f>
        <v>0.131006076339116</v>
      </c>
    </row>
    <row r="32" customFormat="false" ht="15" hidden="false" customHeight="false" outlineLevel="0" collapsed="false">
      <c r="B32" s="10" t="s">
        <v>421</v>
      </c>
      <c r="E32" s="101" t="n">
        <f aca="false">(SUM(D29:G29)+H29)/E5</f>
        <v>1.74501233159796</v>
      </c>
    </row>
    <row r="33" customFormat="false" ht="15" hidden="false" customHeight="false" outlineLevel="0" collapsed="false">
      <c r="B33" s="18" t="s">
        <v>422</v>
      </c>
      <c r="E33" s="81" t="n">
        <f aca="false">SUM(D27:H27)</f>
        <v>0.910103914434411</v>
      </c>
    </row>
    <row r="35" customFormat="false" ht="15" hidden="false" customHeight="false" outlineLevel="0" collapsed="false">
      <c r="B35" s="22" t="s">
        <v>423</v>
      </c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B36" s="9" t="s">
        <v>424</v>
      </c>
      <c r="C36" s="9" t="s">
        <v>425</v>
      </c>
      <c r="D36" s="9" t="s">
        <v>28</v>
      </c>
      <c r="E36" s="9" t="s">
        <v>29</v>
      </c>
      <c r="F36" s="9" t="s">
        <v>30</v>
      </c>
      <c r="G36" s="9" t="s">
        <v>31</v>
      </c>
      <c r="H36" s="9" t="s">
        <v>426</v>
      </c>
      <c r="I36" s="9" t="s">
        <v>427</v>
      </c>
      <c r="J36" s="9" t="s">
        <v>428</v>
      </c>
    </row>
    <row r="37" customFormat="false" ht="15" hidden="false" customHeight="false" outlineLevel="0" collapsed="false">
      <c r="B37" s="29" t="n">
        <v>0.05</v>
      </c>
      <c r="C37" s="81" t="n">
        <f aca="false">-$E$5</f>
        <v>-2.5</v>
      </c>
      <c r="D37" s="81" t="n">
        <f aca="false">$D$27</f>
        <v>0.173350983004808</v>
      </c>
      <c r="E37" s="81" t="n">
        <f aca="false">$E$27</f>
        <v>0.176189428610093</v>
      </c>
      <c r="F37" s="81" t="n">
        <f aca="false">$F$27</f>
        <v>0.181244814718301</v>
      </c>
      <c r="G37" s="81" t="n">
        <f aca="false">$G$27</f>
        <v>0.186898899131862</v>
      </c>
      <c r="H37" s="81" t="n">
        <f aca="false">$H$27+(($E$13/$B37)+$E$15+$E$16+$E$17-$E$18-$E$19)/$E$21*(1-$E$8)</f>
        <v>4.38271490864358</v>
      </c>
      <c r="I37" s="49" t="n">
        <f aca="false">IRR(C37:H37)</f>
        <v>0.168824883044015</v>
      </c>
      <c r="J37" s="75" t="n">
        <f aca="false">(SUM(D37:G37)+H37)/$E$5</f>
        <v>2.04015961364346</v>
      </c>
    </row>
    <row r="38" customFormat="false" ht="15" hidden="false" customHeight="false" outlineLevel="0" collapsed="false">
      <c r="B38" s="29" t="n">
        <v>0.0525</v>
      </c>
      <c r="C38" s="81" t="n">
        <f aca="false">-$E$5</f>
        <v>-2.5</v>
      </c>
      <c r="D38" s="81" t="n">
        <f aca="false">$D$27</f>
        <v>0.173350983004808</v>
      </c>
      <c r="E38" s="81" t="n">
        <f aca="false">$E$27</f>
        <v>0.176189428610093</v>
      </c>
      <c r="F38" s="81" t="n">
        <f aca="false">$F$27</f>
        <v>0.181244814718301</v>
      </c>
      <c r="G38" s="81" t="n">
        <f aca="false">$G$27</f>
        <v>0.186898899131862</v>
      </c>
      <c r="H38" s="81" t="n">
        <f aca="false">$H$27+(($E$13/$B38)+$E$15+$E$16+$E$17-$E$18-$E$19)/$E$21*(1-$E$8)</f>
        <v>4.11333445280841</v>
      </c>
      <c r="I38" s="49" t="n">
        <f aca="false">IRR(C38:H38)</f>
        <v>0.155618395389187</v>
      </c>
      <c r="J38" s="75" t="n">
        <f aca="false">(SUM(D38:G38)+H38)/$E$5</f>
        <v>1.93240743130939</v>
      </c>
    </row>
    <row r="39" customFormat="false" ht="15" hidden="false" customHeight="false" outlineLevel="0" collapsed="false">
      <c r="B39" s="29" t="n">
        <v>0.055</v>
      </c>
      <c r="C39" s="81" t="n">
        <f aca="false">-$E$5</f>
        <v>-2.5</v>
      </c>
      <c r="D39" s="81" t="n">
        <f aca="false">$D$27</f>
        <v>0.173350983004808</v>
      </c>
      <c r="E39" s="81" t="n">
        <f aca="false">$E$27</f>
        <v>0.176189428610093</v>
      </c>
      <c r="F39" s="81" t="n">
        <f aca="false">$F$27</f>
        <v>0.181244814718301</v>
      </c>
      <c r="G39" s="81" t="n">
        <f aca="false">$G$27</f>
        <v>0.186898899131862</v>
      </c>
      <c r="H39" s="81" t="n">
        <f aca="false">$H$27+(($E$13/$B39)+$E$15+$E$16+$E$17-$E$18-$E$19)/$E$21*(1-$E$8)</f>
        <v>3.86844312932188</v>
      </c>
      <c r="I39" s="49" t="n">
        <f aca="false">IRR(C39:H39)</f>
        <v>0.143032858393628</v>
      </c>
      <c r="J39" s="75" t="n">
        <f aca="false">(SUM(D39:G39)+H39)/$E$5</f>
        <v>1.83445090191478</v>
      </c>
    </row>
    <row r="40" customFormat="false" ht="15" hidden="false" customHeight="false" outlineLevel="0" collapsed="false">
      <c r="B40" s="29" t="n">
        <v>0.0575</v>
      </c>
      <c r="C40" s="81" t="n">
        <f aca="false">-$E$5</f>
        <v>-2.5</v>
      </c>
      <c r="D40" s="81" t="n">
        <f aca="false">$D$27</f>
        <v>0.173350983004808</v>
      </c>
      <c r="E40" s="81" t="n">
        <f aca="false">$E$27</f>
        <v>0.176189428610093</v>
      </c>
      <c r="F40" s="81" t="n">
        <f aca="false">$F$27</f>
        <v>0.181244814718301</v>
      </c>
      <c r="G40" s="81" t="n">
        <f aca="false">$G$27</f>
        <v>0.186898899131862</v>
      </c>
      <c r="H40" s="81" t="n">
        <f aca="false">$H$27+(($E$13/$B40)+$E$15+$E$16+$E$17-$E$18-$E$19)/$E$21*(1-$E$8)</f>
        <v>3.64484670352984</v>
      </c>
      <c r="I40" s="66" t="n">
        <f aca="false">IRR(C40:H40)</f>
        <v>0.131006076339116</v>
      </c>
      <c r="J40" s="75" t="n">
        <f aca="false">(SUM(D40:G40)+H40)/$E$5</f>
        <v>1.74501233159796</v>
      </c>
    </row>
    <row r="41" customFormat="false" ht="15" hidden="false" customHeight="false" outlineLevel="0" collapsed="false">
      <c r="B41" s="29" t="n">
        <v>0.06</v>
      </c>
      <c r="C41" s="81" t="n">
        <f aca="false">-$E$5</f>
        <v>-2.5</v>
      </c>
      <c r="D41" s="81" t="n">
        <f aca="false">$D$27</f>
        <v>0.173350983004808</v>
      </c>
      <c r="E41" s="81" t="n">
        <f aca="false">$E$27</f>
        <v>0.176189428610093</v>
      </c>
      <c r="F41" s="81" t="n">
        <f aca="false">$F$27</f>
        <v>0.181244814718301</v>
      </c>
      <c r="G41" s="81" t="n">
        <f aca="false">$G$27</f>
        <v>0.186898899131862</v>
      </c>
      <c r="H41" s="81" t="n">
        <f aca="false">$H$27+(($E$13/$B41)+$E$15+$E$16+$E$17-$E$18-$E$19)/$E$21*(1-$E$8)</f>
        <v>3.43988331322046</v>
      </c>
      <c r="I41" s="49" t="n">
        <f aca="false">IRR(C41:H41)</f>
        <v>0.119484208454337</v>
      </c>
      <c r="J41" s="75" t="n">
        <f aca="false">(SUM(D41:G41)+H41)/$E$5</f>
        <v>1.66302697547421</v>
      </c>
    </row>
    <row r="42" customFormat="false" ht="15" hidden="false" customHeight="false" outlineLevel="0" collapsed="false">
      <c r="B42" s="29" t="n">
        <v>0.0625</v>
      </c>
      <c r="C42" s="81" t="n">
        <f aca="false">-$E$5</f>
        <v>-2.5</v>
      </c>
      <c r="D42" s="81" t="n">
        <f aca="false">$D$27</f>
        <v>0.173350983004808</v>
      </c>
      <c r="E42" s="81" t="n">
        <f aca="false">$E$27</f>
        <v>0.176189428610093</v>
      </c>
      <c r="F42" s="81" t="n">
        <f aca="false">$F$27</f>
        <v>0.181244814718301</v>
      </c>
      <c r="G42" s="81" t="n">
        <f aca="false">$G$27</f>
        <v>0.186898899131862</v>
      </c>
      <c r="H42" s="81" t="n">
        <f aca="false">$H$27+(($E$13/$B42)+$E$15+$E$16+$E$17-$E$18-$E$19)/$E$21*(1-$E$8)</f>
        <v>3.25131699413584</v>
      </c>
      <c r="I42" s="49" t="n">
        <f aca="false">IRR(C42:H42)</f>
        <v>0.108420339149175</v>
      </c>
      <c r="J42" s="75" t="n">
        <f aca="false">(SUM(D42:G42)+H42)/$E$5</f>
        <v>1.58760044784036</v>
      </c>
    </row>
    <row r="43" customFormat="false" ht="15" hidden="false" customHeight="false" outlineLevel="0" collapsed="false">
      <c r="B43" s="29" t="n">
        <v>0.065</v>
      </c>
      <c r="C43" s="81" t="n">
        <f aca="false">-$E$5</f>
        <v>-2.5</v>
      </c>
      <c r="D43" s="81" t="n">
        <f aca="false">$D$27</f>
        <v>0.173350983004808</v>
      </c>
      <c r="E43" s="81" t="n">
        <f aca="false">$E$27</f>
        <v>0.176189428610093</v>
      </c>
      <c r="F43" s="81" t="n">
        <f aca="false">$F$27</f>
        <v>0.181244814718301</v>
      </c>
      <c r="G43" s="81" t="n">
        <f aca="false">$G$27</f>
        <v>0.186898899131862</v>
      </c>
      <c r="H43" s="81" t="n">
        <f aca="false">$H$27+(($E$13/$B43)+$E$15+$E$16+$E$17-$E$18-$E$19)/$E$21*(1-$E$8)</f>
        <v>3.07725577651926</v>
      </c>
      <c r="I43" s="49" t="n">
        <f aca="false">IRR(C43:H43)</f>
        <v>0.0977733385734875</v>
      </c>
      <c r="J43" s="75" t="n">
        <f aca="false">(SUM(D43:G43)+H43)/$E$5</f>
        <v>1.51797596079373</v>
      </c>
    </row>
    <row r="44" customFormat="false" ht="15" hidden="false" customHeight="false" outlineLevel="0" collapsed="false">
      <c r="B44" s="29" t="n">
        <v>0.07</v>
      </c>
      <c r="C44" s="81" t="n">
        <f aca="false">-$E$5</f>
        <v>-2.5</v>
      </c>
      <c r="D44" s="81" t="n">
        <f aca="false">$D$27</f>
        <v>0.173350983004808</v>
      </c>
      <c r="E44" s="81" t="n">
        <f aca="false">$E$27</f>
        <v>0.176189428610093</v>
      </c>
      <c r="F44" s="81" t="n">
        <f aca="false">$F$27</f>
        <v>0.181244814718301</v>
      </c>
      <c r="G44" s="81" t="n">
        <f aca="false">$G$27</f>
        <v>0.186898899131862</v>
      </c>
      <c r="H44" s="81" t="n">
        <f aca="false">$H$27+(($E$13/$B44)+$E$15+$E$16+$E$17-$E$18-$E$19)/$E$21*(1-$E$8)</f>
        <v>2.76643217363252</v>
      </c>
      <c r="I44" s="49" t="n">
        <f aca="false">IRR(C44:H44)</f>
        <v>0.0775890243857371</v>
      </c>
      <c r="J44" s="75" t="n">
        <f aca="false">(SUM(D44:G44)+H44)/$E$5</f>
        <v>1.39364651963903</v>
      </c>
    </row>
    <row r="46" customFormat="false" ht="15" hidden="false" customHeight="false" outlineLevel="0" collapsed="false">
      <c r="B46" s="22" t="s">
        <v>429</v>
      </c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B47" s="102" t="s">
        <v>430</v>
      </c>
      <c r="C47" s="27" t="n">
        <v>-0.1</v>
      </c>
      <c r="D47" s="27" t="n">
        <v>-0.05</v>
      </c>
      <c r="E47" s="27" t="n">
        <v>0</v>
      </c>
      <c r="F47" s="27" t="n">
        <v>0.05</v>
      </c>
      <c r="G47" s="27" t="n">
        <v>0.1</v>
      </c>
    </row>
    <row r="48" customFormat="false" ht="15" hidden="false" customHeight="false" outlineLevel="0" collapsed="false">
      <c r="B48" s="29" t="n">
        <v>0.0525</v>
      </c>
      <c r="C48" s="75" t="n">
        <f aca="false">(SUM($D$27:$G$27)+$H$27+((($E$13*(1+-0.1))/$B48)+$E$15+$E$16+$E$17-$E$18-$E$19)/$E$21*(1-$E$8))/$E$5</f>
        <v>1.71690306664125</v>
      </c>
      <c r="D48" s="75" t="n">
        <f aca="false">(SUM($D$27:$G$27)+$H$27+((($E$13*(1+-0.05))/$B48)+$E$15+$E$16+$E$17-$E$18-$E$19)/$E$21*(1-$E$8))/$E$5</f>
        <v>1.82465524897532</v>
      </c>
      <c r="E48" s="75" t="n">
        <f aca="false">(SUM($D$27:$G$27)+$H$27+((($E$13*(1+0))/$B48)+$E$15+$E$16+$E$17-$E$18-$E$19)/$E$21*(1-$E$8))/$E$5</f>
        <v>1.93240743130939</v>
      </c>
      <c r="F48" s="75" t="n">
        <f aca="false">(SUM($D$27:$G$27)+$H$27+((($E$13*(1+0.05))/$B48)+$E$15+$E$16+$E$17-$E$18-$E$19)/$E$21*(1-$E$8))/$E$5</f>
        <v>2.04015961364346</v>
      </c>
      <c r="G48" s="75" t="n">
        <f aca="false">(SUM($D$27:$G$27)+$H$27+((($E$13*(1+0.1))/$B48)+$E$15+$E$16+$E$17-$E$18-$E$19)/$E$21*(1-$E$8))/$E$5</f>
        <v>2.14791179597753</v>
      </c>
    </row>
    <row r="49" customFormat="false" ht="15" hidden="false" customHeight="false" outlineLevel="0" collapsed="false">
      <c r="B49" s="29" t="n">
        <v>0.055</v>
      </c>
      <c r="C49" s="75" t="n">
        <f aca="false">(SUM($D$27:$G$27)+$H$27+((($E$13*(1+-0.1))/$B49)+$E$15+$E$16+$E$17-$E$18-$E$19)/$E$21*(1-$E$8))/$E$5</f>
        <v>1.6287421901861</v>
      </c>
      <c r="D49" s="75" t="n">
        <f aca="false">(SUM($D$27:$G$27)+$H$27+((($E$13*(1+-0.05))/$B49)+$E$15+$E$16+$E$17-$E$18-$E$19)/$E$21*(1-$E$8))/$E$5</f>
        <v>1.73159654605044</v>
      </c>
      <c r="E49" s="75" t="n">
        <f aca="false">(SUM($D$27:$G$27)+$H$27+((($E$13*(1+0))/$B49)+$E$15+$E$16+$E$17-$E$18-$E$19)/$E$21*(1-$E$8))/$E$5</f>
        <v>1.83445090191478</v>
      </c>
      <c r="F49" s="75" t="n">
        <f aca="false">(SUM($D$27:$G$27)+$H$27+((($E$13*(1+0.05))/$B49)+$E$15+$E$16+$E$17-$E$18-$E$19)/$E$21*(1-$E$8))/$E$5</f>
        <v>1.93730525777912</v>
      </c>
      <c r="G49" s="75" t="n">
        <f aca="false">(SUM($D$27:$G$27)+$H$27+((($E$13*(1+0.1))/$B49)+$E$15+$E$16+$E$17-$E$18-$E$19)/$E$21*(1-$E$8))/$E$5</f>
        <v>2.04015961364346</v>
      </c>
    </row>
    <row r="50" customFormat="false" ht="15" hidden="false" customHeight="false" outlineLevel="0" collapsed="false">
      <c r="B50" s="29" t="n">
        <v>0.0575</v>
      </c>
      <c r="C50" s="75" t="n">
        <f aca="false">(SUM($D$27:$G$27)+$H$27+((($E$13*(1+-0.1))/$B50)+$E$15+$E$16+$E$17-$E$18-$E$19)/$E$21*(1-$E$8))/$E$5</f>
        <v>1.54824747690096</v>
      </c>
      <c r="D50" s="75" t="n">
        <f aca="false">(SUM($D$27:$G$27)+$H$27+((($E$13*(1+-0.05))/$B50)+$E$15+$E$16+$E$17-$E$18-$E$19)/$E$21*(1-$E$8))/$E$5</f>
        <v>1.64662990424946</v>
      </c>
      <c r="E50" s="103" t="n">
        <f aca="false">(SUM($D$27:$G$27)+$H$27+((($E$13*(1+0))/$B50)+$E$15+$E$16+$E$17-$E$18-$E$19)/$E$21*(1-$E$8))/$E$5</f>
        <v>1.74501233159796</v>
      </c>
      <c r="F50" s="75" t="n">
        <f aca="false">(SUM($D$27:$G$27)+$H$27+((($E$13*(1+0.05))/$B50)+$E$15+$E$16+$E$17-$E$18-$E$19)/$E$21*(1-$E$8))/$E$5</f>
        <v>1.84339475894646</v>
      </c>
      <c r="G50" s="75" t="n">
        <f aca="false">(SUM($D$27:$G$27)+$H$27+((($E$13*(1+0.1))/$B50)+$E$15+$E$16+$E$17-$E$18-$E$19)/$E$21*(1-$E$8))/$E$5</f>
        <v>1.94177718629496</v>
      </c>
    </row>
    <row r="51" customFormat="false" ht="15" hidden="false" customHeight="false" outlineLevel="0" collapsed="false">
      <c r="B51" s="29" t="n">
        <v>0.06</v>
      </c>
      <c r="C51" s="75" t="n">
        <f aca="false">(SUM($D$27:$G$27)+$H$27+((($E$13*(1+-0.1))/$B51)+$E$15+$E$16+$E$17-$E$18-$E$19)/$E$21*(1-$E$8))/$E$5</f>
        <v>1.47446065638959</v>
      </c>
      <c r="D51" s="75" t="n">
        <f aca="false">(SUM($D$27:$G$27)+$H$27+((($E$13*(1+-0.05))/$B51)+$E$15+$E$16+$E$17-$E$18-$E$19)/$E$21*(1-$E$8))/$E$5</f>
        <v>1.5687438159319</v>
      </c>
      <c r="E51" s="75" t="n">
        <f aca="false">(SUM($D$27:$G$27)+$H$27+((($E$13*(1+0))/$B51)+$E$15+$E$16+$E$17-$E$18-$E$19)/$E$21*(1-$E$8))/$E$5</f>
        <v>1.66302697547421</v>
      </c>
      <c r="F51" s="75" t="n">
        <f aca="false">(SUM($D$27:$G$27)+$H$27+((($E$13*(1+0.05))/$B51)+$E$15+$E$16+$E$17-$E$18-$E$19)/$E$21*(1-$E$8))/$E$5</f>
        <v>1.75731013501652</v>
      </c>
      <c r="G51" s="75" t="n">
        <f aca="false">(SUM($D$27:$G$27)+$H$27+((($E$13*(1+0.1))/$B51)+$E$15+$E$16+$E$17-$E$18-$E$19)/$E$21*(1-$E$8))/$E$5</f>
        <v>1.85159329455883</v>
      </c>
    </row>
    <row r="52" customFormat="false" ht="15" hidden="false" customHeight="false" outlineLevel="0" collapsed="false">
      <c r="B52" s="29" t="n">
        <v>0.0625</v>
      </c>
      <c r="C52" s="75" t="n">
        <f aca="false">(SUM($D$27:$G$27)+$H$27+((($E$13*(1+-0.1))/$B52)+$E$15+$E$16+$E$17-$E$18-$E$19)/$E$21*(1-$E$8))/$E$5</f>
        <v>1.40657678151912</v>
      </c>
      <c r="D52" s="75" t="n">
        <f aca="false">(SUM($D$27:$G$27)+$H$27+((($E$13*(1+-0.05))/$B52)+$E$15+$E$16+$E$17-$E$18-$E$19)/$E$21*(1-$E$8))/$E$5</f>
        <v>1.49708861467974</v>
      </c>
      <c r="E52" s="75" t="n">
        <f aca="false">(SUM($D$27:$G$27)+$H$27+((($E$13*(1+0))/$B52)+$E$15+$E$16+$E$17-$E$18-$E$19)/$E$21*(1-$E$8))/$E$5</f>
        <v>1.58760044784036</v>
      </c>
      <c r="F52" s="75" t="n">
        <f aca="false">(SUM($D$27:$G$27)+$H$27+((($E$13*(1+0.05))/$B52)+$E$15+$E$16+$E$17-$E$18-$E$19)/$E$21*(1-$E$8))/$E$5</f>
        <v>1.67811228100098</v>
      </c>
      <c r="G52" s="75" t="n">
        <f aca="false">(SUM($D$27:$G$27)+$H$27+((($E$13*(1+0.1))/$B52)+$E$15+$E$16+$E$17-$E$18-$E$19)/$E$21*(1-$E$8))/$E$5</f>
        <v>1.7686241141616</v>
      </c>
    </row>
    <row r="53" customFormat="false" ht="15" hidden="false" customHeight="false" outlineLevel="0" collapsed="false">
      <c r="B53" s="29" t="n">
        <v>0.065</v>
      </c>
      <c r="C53" s="75" t="n">
        <f aca="false">(SUM($D$27:$G$27)+$H$27+((($E$13*(1+-0.1))/$B53)+$E$15+$E$16+$E$17-$E$18-$E$19)/$E$21*(1-$E$8))/$E$5</f>
        <v>1.34391474317715</v>
      </c>
      <c r="D53" s="75" t="n">
        <f aca="false">(SUM($D$27:$G$27)+$H$27+((($E$13*(1+-0.05))/$B53)+$E$15+$E$16+$E$17-$E$18-$E$19)/$E$21*(1-$E$8))/$E$5</f>
        <v>1.43094535198544</v>
      </c>
      <c r="E53" s="75" t="n">
        <f aca="false">(SUM($D$27:$G$27)+$H$27+((($E$13*(1+0))/$B53)+$E$15+$E$16+$E$17-$E$18-$E$19)/$E$21*(1-$E$8))/$E$5</f>
        <v>1.51797596079373</v>
      </c>
      <c r="F53" s="75" t="n">
        <f aca="false">(SUM($D$27:$G$27)+$H$27+((($E$13*(1+0.05))/$B53)+$E$15+$E$16+$E$17-$E$18-$E$19)/$E$21*(1-$E$8))/$E$5</f>
        <v>1.60500656960202</v>
      </c>
      <c r="G53" s="75" t="n">
        <f aca="false">(SUM($D$27:$G$27)+$H$27+((($E$13*(1+0.1))/$B53)+$E$15+$E$16+$E$17-$E$18-$E$19)/$E$21*(1-$E$8))/$E$5</f>
        <v>1.69203717841031</v>
      </c>
    </row>
    <row r="55" customFormat="false" ht="15" hidden="false" customHeight="false" outlineLevel="0" collapsed="false">
      <c r="B55" s="22" t="s">
        <v>431</v>
      </c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B56" s="17" t="s">
        <v>432</v>
      </c>
    </row>
    <row r="57" customFormat="false" ht="15" hidden="false" customHeight="false" outlineLevel="0" collapsed="false">
      <c r="B57" s="18" t="s">
        <v>433</v>
      </c>
      <c r="E57" s="49" t="n">
        <v>0.1303</v>
      </c>
    </row>
    <row r="58" customFormat="false" ht="15" hidden="false" customHeight="false" outlineLevel="0" collapsed="false">
      <c r="B58" s="18" t="s">
        <v>434</v>
      </c>
      <c r="E58" s="49" t="n">
        <v>0.0396</v>
      </c>
    </row>
    <row r="59" customFormat="false" ht="15" hidden="false" customHeight="false" outlineLevel="0" collapsed="false">
      <c r="B59" s="18" t="s">
        <v>435</v>
      </c>
      <c r="E59" s="49" t="n">
        <v>0.0952</v>
      </c>
    </row>
    <row r="60" customFormat="false" ht="15" hidden="false" customHeight="false" outlineLevel="0" collapsed="false">
      <c r="B60" s="18" t="s">
        <v>436</v>
      </c>
      <c r="E60" s="66" t="n">
        <v>0.1317</v>
      </c>
    </row>
    <row r="61" customFormat="false" ht="15" hidden="false" customHeight="false" outlineLevel="0" collapsed="false">
      <c r="B61" s="18" t="s">
        <v>437</v>
      </c>
      <c r="E61" s="49" t="n">
        <v>0.167</v>
      </c>
    </row>
    <row r="62" customFormat="false" ht="15" hidden="false" customHeight="false" outlineLevel="0" collapsed="false">
      <c r="B62" s="18" t="s">
        <v>438</v>
      </c>
      <c r="E62" s="49" t="n">
        <v>0.2164</v>
      </c>
    </row>
    <row r="63" customFormat="false" ht="15" hidden="false" customHeight="false" outlineLevel="0" collapsed="false">
      <c r="B63" s="18" t="s">
        <v>439</v>
      </c>
      <c r="E63" s="49" t="n">
        <v>0.0111</v>
      </c>
    </row>
    <row r="64" customFormat="false" ht="15" hidden="false" customHeight="false" outlineLevel="0" collapsed="false">
      <c r="B64" s="18" t="s">
        <v>440</v>
      </c>
      <c r="E64" s="49" t="n">
        <v>0.8269</v>
      </c>
    </row>
    <row r="65" customFormat="false" ht="15" hidden="false" customHeight="false" outlineLevel="0" collapsed="false">
      <c r="B65" s="18" t="s">
        <v>441</v>
      </c>
      <c r="E65" s="49" t="n">
        <v>0.656</v>
      </c>
    </row>
    <row r="66" customFormat="false" ht="15" hidden="false" customHeight="false" outlineLevel="0" collapsed="false">
      <c r="B66" s="18" t="s">
        <v>442</v>
      </c>
      <c r="E66" s="66" t="n">
        <v>0.3645</v>
      </c>
    </row>
    <row r="68" customFormat="false" ht="15" hidden="false" customHeight="false" outlineLevel="0" collapsed="false">
      <c r="B68" s="10" t="s">
        <v>443</v>
      </c>
    </row>
    <row r="69" customFormat="false" ht="15" hidden="false" customHeight="false" outlineLevel="0" collapsed="false">
      <c r="B69" s="104" t="s">
        <v>444</v>
      </c>
      <c r="C69" s="104" t="s">
        <v>445</v>
      </c>
    </row>
    <row r="70" customFormat="false" ht="15" hidden="false" customHeight="false" outlineLevel="0" collapsed="false">
      <c r="B70" s="60" t="s">
        <v>446</v>
      </c>
      <c r="C70" s="105" t="n">
        <v>385</v>
      </c>
    </row>
    <row r="71" customFormat="false" ht="15" hidden="false" customHeight="false" outlineLevel="0" collapsed="false">
      <c r="B71" s="60" t="s">
        <v>447</v>
      </c>
      <c r="C71" s="105" t="n">
        <v>843</v>
      </c>
    </row>
    <row r="72" customFormat="false" ht="15" hidden="false" customHeight="false" outlineLevel="0" collapsed="false">
      <c r="B72" s="60" t="s">
        <v>448</v>
      </c>
      <c r="C72" s="105" t="n">
        <v>1604</v>
      </c>
    </row>
    <row r="73" customFormat="false" ht="15" hidden="false" customHeight="false" outlineLevel="0" collapsed="false">
      <c r="B73" s="60" t="s">
        <v>449</v>
      </c>
      <c r="C73" s="105" t="n">
        <v>2523</v>
      </c>
    </row>
    <row r="74" customFormat="false" ht="15" hidden="false" customHeight="false" outlineLevel="0" collapsed="false">
      <c r="B74" s="60" t="s">
        <v>450</v>
      </c>
      <c r="C74" s="105" t="n">
        <v>3407</v>
      </c>
    </row>
    <row r="75" customFormat="false" ht="15" hidden="false" customHeight="false" outlineLevel="0" collapsed="false">
      <c r="B75" s="60" t="s">
        <v>451</v>
      </c>
      <c r="C75" s="105" t="n">
        <v>3726</v>
      </c>
    </row>
    <row r="76" customFormat="false" ht="15" hidden="false" customHeight="false" outlineLevel="0" collapsed="false">
      <c r="B76" s="60" t="s">
        <v>452</v>
      </c>
      <c r="C76" s="105" t="n">
        <v>3225</v>
      </c>
    </row>
    <row r="77" customFormat="false" ht="15" hidden="false" customHeight="false" outlineLevel="0" collapsed="false">
      <c r="B77" s="60" t="s">
        <v>453</v>
      </c>
      <c r="C77" s="105" t="n">
        <v>2188</v>
      </c>
    </row>
    <row r="78" customFormat="false" ht="15" hidden="false" customHeight="false" outlineLevel="0" collapsed="false">
      <c r="B78" s="60" t="s">
        <v>454</v>
      </c>
      <c r="C78" s="105" t="n">
        <v>1203</v>
      </c>
    </row>
    <row r="79" customFormat="false" ht="15" hidden="false" customHeight="false" outlineLevel="0" collapsed="false">
      <c r="B79" s="60" t="s">
        <v>455</v>
      </c>
      <c r="C79" s="105" t="n">
        <v>458</v>
      </c>
    </row>
    <row r="80" customFormat="false" ht="15" hidden="false" customHeight="false" outlineLevel="0" collapsed="false">
      <c r="B80" s="60" t="s">
        <v>456</v>
      </c>
      <c r="C80" s="105" t="n">
        <v>176</v>
      </c>
    </row>
    <row r="81" customFormat="false" ht="15" hidden="false" customHeight="false" outlineLevel="0" collapsed="false">
      <c r="B81" s="60" t="s">
        <v>457</v>
      </c>
      <c r="C81" s="105" t="n">
        <v>31</v>
      </c>
    </row>
    <row r="82" customFormat="false" ht="15" hidden="false" customHeight="false" outlineLevel="0" collapsed="false">
      <c r="B82" s="60" t="s">
        <v>458</v>
      </c>
      <c r="C82" s="105" t="n">
        <v>9</v>
      </c>
    </row>
    <row r="83" customFormat="false" ht="15" hidden="false" customHeight="false" outlineLevel="0" collapsed="false">
      <c r="B83" s="60" t="s">
        <v>459</v>
      </c>
      <c r="C83" s="105" t="n">
        <v>1</v>
      </c>
    </row>
    <row r="84" customFormat="false" ht="15" hidden="false" customHeight="false" outlineLevel="0" collapsed="false">
      <c r="B84" s="60" t="s">
        <v>460</v>
      </c>
      <c r="C84" s="105" t="n">
        <v>0</v>
      </c>
    </row>
    <row r="85" customFormat="false" ht="15" hidden="false" customHeight="false" outlineLevel="0" collapsed="false">
      <c r="B85" s="60" t="s">
        <v>461</v>
      </c>
      <c r="C85" s="105" t="n">
        <v>0</v>
      </c>
    </row>
    <row r="86" customFormat="false" ht="15" hidden="false" customHeight="false" outlineLevel="0" collapsed="false">
      <c r="B86" s="60" t="s">
        <v>462</v>
      </c>
      <c r="C86" s="105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2026-06-06T10:02:10Z</dcterms:created>
  <dc:creator>openpyxl</dc:creator>
  <dc:description/>
  <dc:language>en-US</dc:language>
  <cp:lastModifiedBy/>
  <dcterms:modified xsi:type="dcterms:W3CDTF">2026-06-06T10:02:16Z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